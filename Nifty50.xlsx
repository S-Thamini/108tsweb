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4e84142cbb0cbb1/Documents/tradin/tem/108TS/108TS_Templates/"/>
    </mc:Choice>
  </mc:AlternateContent>
  <xr:revisionPtr revIDLastSave="78" documentId="8_{0BBEC706-7F80-4AFF-A4CB-44519049E019}" xr6:coauthVersionLast="47" xr6:coauthVersionMax="47" xr10:uidLastSave="{82085A29-ABBF-4DB1-BF98-19C68AADA277}"/>
  <bookViews>
    <workbookView xWindow="-108" yWindow="-108" windowWidth="23256" windowHeight="12456" xr2:uid="{00000000-000D-0000-FFFF-FFFF00000000}"/>
  </bookViews>
  <sheets>
    <sheet name="108TS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2" l="1"/>
  <c r="AC39" i="2"/>
  <c r="AC40" i="2"/>
  <c r="AC41" i="2"/>
  <c r="AC42" i="2"/>
  <c r="AC43" i="2"/>
  <c r="AC44" i="2"/>
  <c r="AC45" i="2"/>
  <c r="AC46" i="2"/>
  <c r="AB38" i="2"/>
  <c r="AB39" i="2"/>
  <c r="AB40" i="2"/>
  <c r="AB41" i="2"/>
  <c r="AB42" i="2"/>
  <c r="AB43" i="2"/>
  <c r="AB44" i="2"/>
  <c r="AB45" i="2"/>
  <c r="AB46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C80" i="2"/>
  <c r="B80" i="2"/>
  <c r="D81" i="2" s="1"/>
  <c r="D83" i="2" s="1"/>
  <c r="A91" i="2"/>
  <c r="E89" i="2"/>
  <c r="D89" i="2"/>
  <c r="C89" i="2"/>
  <c r="B89" i="2"/>
  <c r="E88" i="2"/>
  <c r="D88" i="2"/>
  <c r="C88" i="2"/>
  <c r="B88" i="2"/>
  <c r="C86" i="2"/>
  <c r="V73" i="2"/>
  <c r="U73" i="2"/>
  <c r="AA73" i="2" s="1"/>
  <c r="O73" i="2"/>
  <c r="N73" i="2"/>
  <c r="J73" i="2"/>
  <c r="AA72" i="2"/>
  <c r="Z72" i="2"/>
  <c r="Y72" i="2"/>
  <c r="V72" i="2"/>
  <c r="U72" i="2"/>
  <c r="X72" i="2" s="1"/>
  <c r="O72" i="2"/>
  <c r="N72" i="2"/>
  <c r="T72" i="2" s="1"/>
  <c r="J72" i="2"/>
  <c r="AA71" i="2"/>
  <c r="V71" i="2"/>
  <c r="U71" i="2"/>
  <c r="Z71" i="2" s="1"/>
  <c r="O71" i="2"/>
  <c r="N71" i="2"/>
  <c r="T71" i="2" s="1"/>
  <c r="J71" i="2"/>
  <c r="Y70" i="2"/>
  <c r="V70" i="2"/>
  <c r="U70" i="2"/>
  <c r="O70" i="2"/>
  <c r="N70" i="2"/>
  <c r="S70" i="2" s="1"/>
  <c r="J70" i="2"/>
  <c r="AA69" i="2"/>
  <c r="Z69" i="2"/>
  <c r="Y69" i="2"/>
  <c r="X69" i="2"/>
  <c r="V69" i="2"/>
  <c r="W69" i="2" s="1"/>
  <c r="U69" i="2"/>
  <c r="O69" i="2"/>
  <c r="N69" i="2"/>
  <c r="J69" i="2"/>
  <c r="V68" i="2"/>
  <c r="U68" i="2"/>
  <c r="T68" i="2"/>
  <c r="S68" i="2"/>
  <c r="R68" i="2"/>
  <c r="Q68" i="2"/>
  <c r="O68" i="2"/>
  <c r="P68" i="2" s="1"/>
  <c r="N68" i="2"/>
  <c r="K68" i="2"/>
  <c r="J68" i="2"/>
  <c r="V67" i="2"/>
  <c r="U67" i="2"/>
  <c r="W67" i="2" s="1"/>
  <c r="O67" i="2"/>
  <c r="N67" i="2"/>
  <c r="K67" i="2"/>
  <c r="J67" i="2"/>
  <c r="V66" i="2"/>
  <c r="U66" i="2"/>
  <c r="T66" i="2"/>
  <c r="S66" i="2"/>
  <c r="R66" i="2"/>
  <c r="Q66" i="2"/>
  <c r="O66" i="2"/>
  <c r="P66" i="2" s="1"/>
  <c r="N66" i="2"/>
  <c r="K66" i="2"/>
  <c r="J66" i="2"/>
  <c r="V65" i="2"/>
  <c r="U65" i="2"/>
  <c r="W65" i="2" s="1"/>
  <c r="O65" i="2"/>
  <c r="N65" i="2"/>
  <c r="K65" i="2"/>
  <c r="J65" i="2"/>
  <c r="V64" i="2"/>
  <c r="U64" i="2"/>
  <c r="T64" i="2"/>
  <c r="S64" i="2"/>
  <c r="R64" i="2"/>
  <c r="Q64" i="2"/>
  <c r="O64" i="2"/>
  <c r="P64" i="2" s="1"/>
  <c r="N64" i="2"/>
  <c r="K64" i="2"/>
  <c r="J64" i="2"/>
  <c r="V63" i="2"/>
  <c r="U63" i="2"/>
  <c r="W63" i="2" s="1"/>
  <c r="O63" i="2"/>
  <c r="N63" i="2"/>
  <c r="K63" i="2"/>
  <c r="J63" i="2"/>
  <c r="V62" i="2"/>
  <c r="U62" i="2"/>
  <c r="T62" i="2"/>
  <c r="S62" i="2"/>
  <c r="R62" i="2"/>
  <c r="Q62" i="2"/>
  <c r="O62" i="2"/>
  <c r="P62" i="2" s="1"/>
  <c r="N62" i="2"/>
  <c r="K62" i="2"/>
  <c r="J62" i="2"/>
  <c r="V61" i="2"/>
  <c r="U61" i="2"/>
  <c r="W61" i="2" s="1"/>
  <c r="O61" i="2"/>
  <c r="N61" i="2"/>
  <c r="K61" i="2"/>
  <c r="J61" i="2"/>
  <c r="V60" i="2"/>
  <c r="U60" i="2"/>
  <c r="T60" i="2"/>
  <c r="S60" i="2"/>
  <c r="R60" i="2"/>
  <c r="Q60" i="2"/>
  <c r="O60" i="2"/>
  <c r="P60" i="2" s="1"/>
  <c r="N60" i="2"/>
  <c r="K60" i="2"/>
  <c r="J60" i="2"/>
  <c r="V59" i="2"/>
  <c r="U59" i="2"/>
  <c r="W59" i="2" s="1"/>
  <c r="O59" i="2"/>
  <c r="N59" i="2"/>
  <c r="K59" i="2"/>
  <c r="J59" i="2"/>
  <c r="V58" i="2"/>
  <c r="U58" i="2"/>
  <c r="T58" i="2"/>
  <c r="S58" i="2"/>
  <c r="R58" i="2"/>
  <c r="Q58" i="2"/>
  <c r="O58" i="2"/>
  <c r="P58" i="2" s="1"/>
  <c r="N58" i="2"/>
  <c r="K58" i="2"/>
  <c r="J58" i="2"/>
  <c r="V57" i="2"/>
  <c r="U57" i="2"/>
  <c r="W57" i="2" s="1"/>
  <c r="O57" i="2"/>
  <c r="N57" i="2"/>
  <c r="K57" i="2"/>
  <c r="J57" i="2"/>
  <c r="V56" i="2"/>
  <c r="U56" i="2"/>
  <c r="T56" i="2"/>
  <c r="S56" i="2"/>
  <c r="R56" i="2"/>
  <c r="O56" i="2"/>
  <c r="N56" i="2"/>
  <c r="Q56" i="2" s="1"/>
  <c r="K56" i="2"/>
  <c r="J56" i="2"/>
  <c r="V55" i="2"/>
  <c r="U55" i="2"/>
  <c r="W55" i="2" s="1"/>
  <c r="O55" i="2"/>
  <c r="N55" i="2"/>
  <c r="K55" i="2"/>
  <c r="J55" i="2"/>
  <c r="V54" i="2"/>
  <c r="U54" i="2"/>
  <c r="T54" i="2"/>
  <c r="S54" i="2"/>
  <c r="R54" i="2"/>
  <c r="Q54" i="2"/>
  <c r="O54" i="2"/>
  <c r="N54" i="2"/>
  <c r="K54" i="2"/>
  <c r="J54" i="2"/>
  <c r="AD53" i="2"/>
  <c r="V53" i="2"/>
  <c r="U53" i="2"/>
  <c r="X53" i="2" s="1"/>
  <c r="O53" i="2"/>
  <c r="N53" i="2"/>
  <c r="K53" i="2"/>
  <c r="J53" i="2"/>
  <c r="AD52" i="2"/>
  <c r="V52" i="2"/>
  <c r="W52" i="2" s="1"/>
  <c r="U52" i="2"/>
  <c r="O52" i="2"/>
  <c r="N52" i="2"/>
  <c r="S52" i="2" s="1"/>
  <c r="K52" i="2"/>
  <c r="J52" i="2"/>
  <c r="AD51" i="2"/>
  <c r="V51" i="2"/>
  <c r="U51" i="2"/>
  <c r="Z51" i="2" s="1"/>
  <c r="T51" i="2"/>
  <c r="S51" i="2"/>
  <c r="R51" i="2"/>
  <c r="Q51" i="2"/>
  <c r="O51" i="2"/>
  <c r="P51" i="2" s="1"/>
  <c r="N51" i="2"/>
  <c r="K51" i="2"/>
  <c r="J51" i="2"/>
  <c r="AD50" i="2"/>
  <c r="V50" i="2"/>
  <c r="U50" i="2"/>
  <c r="AA50" i="2" s="1"/>
  <c r="O50" i="2"/>
  <c r="N50" i="2"/>
  <c r="T50" i="2" s="1"/>
  <c r="K50" i="2"/>
  <c r="J50" i="2"/>
  <c r="AD49" i="2"/>
  <c r="V49" i="2"/>
  <c r="U49" i="2"/>
  <c r="AA49" i="2" s="1"/>
  <c r="T49" i="2"/>
  <c r="O49" i="2"/>
  <c r="N49" i="2"/>
  <c r="P49" i="2" s="1"/>
  <c r="K49" i="2"/>
  <c r="J49" i="2"/>
  <c r="AD48" i="2"/>
  <c r="AA48" i="2"/>
  <c r="Z48" i="2"/>
  <c r="V48" i="2"/>
  <c r="U48" i="2"/>
  <c r="O48" i="2"/>
  <c r="N48" i="2"/>
  <c r="K48" i="2"/>
  <c r="J48" i="2"/>
  <c r="AD47" i="2"/>
  <c r="V47" i="2"/>
  <c r="U47" i="2"/>
  <c r="O47" i="2"/>
  <c r="N47" i="2"/>
  <c r="R47" i="2" s="1"/>
  <c r="K47" i="2"/>
  <c r="J47" i="2"/>
  <c r="AD46" i="2"/>
  <c r="AA46" i="2"/>
  <c r="Z46" i="2"/>
  <c r="V46" i="2"/>
  <c r="U46" i="2"/>
  <c r="Y46" i="2" s="1"/>
  <c r="O46" i="2"/>
  <c r="N46" i="2"/>
  <c r="Q46" i="2" s="1"/>
  <c r="K46" i="2"/>
  <c r="J46" i="2"/>
  <c r="AD45" i="2"/>
  <c r="V45" i="2"/>
  <c r="U45" i="2"/>
  <c r="O45" i="2"/>
  <c r="N45" i="2"/>
  <c r="K45" i="2"/>
  <c r="J45" i="2"/>
  <c r="AD44" i="2"/>
  <c r="V44" i="2"/>
  <c r="U44" i="2"/>
  <c r="T44" i="2"/>
  <c r="S44" i="2"/>
  <c r="R44" i="2"/>
  <c r="O44" i="2"/>
  <c r="N44" i="2"/>
  <c r="Q44" i="2" s="1"/>
  <c r="K44" i="2"/>
  <c r="J44" i="2"/>
  <c r="AD43" i="2"/>
  <c r="AA43" i="2"/>
  <c r="Z43" i="2"/>
  <c r="Y43" i="2"/>
  <c r="V43" i="2"/>
  <c r="U43" i="2"/>
  <c r="X43" i="2" s="1"/>
  <c r="O43" i="2"/>
  <c r="N43" i="2"/>
  <c r="K43" i="2"/>
  <c r="J43" i="2"/>
  <c r="AD42" i="2"/>
  <c r="W42" i="2"/>
  <c r="V42" i="2"/>
  <c r="U42" i="2"/>
  <c r="O42" i="2"/>
  <c r="N42" i="2"/>
  <c r="Q42" i="2" s="1"/>
  <c r="K42" i="2"/>
  <c r="J42" i="2"/>
  <c r="AD41" i="2"/>
  <c r="V41" i="2"/>
  <c r="U41" i="2"/>
  <c r="X41" i="2" s="1"/>
  <c r="R41" i="2"/>
  <c r="O41" i="2"/>
  <c r="P41" i="2" s="1"/>
  <c r="N41" i="2"/>
  <c r="K41" i="2"/>
  <c r="J41" i="2"/>
  <c r="AD40" i="2"/>
  <c r="V40" i="2"/>
  <c r="U40" i="2"/>
  <c r="O40" i="2"/>
  <c r="N40" i="2"/>
  <c r="S40" i="2" s="1"/>
  <c r="K40" i="2"/>
  <c r="J40" i="2"/>
  <c r="AD39" i="2"/>
  <c r="AA39" i="2"/>
  <c r="V39" i="2"/>
  <c r="U39" i="2"/>
  <c r="Z39" i="2" s="1"/>
  <c r="R39" i="2"/>
  <c r="Q39" i="2"/>
  <c r="O39" i="2"/>
  <c r="P39" i="2" s="1"/>
  <c r="N39" i="2"/>
  <c r="T39" i="2" s="1"/>
  <c r="K39" i="2"/>
  <c r="J39" i="2"/>
  <c r="AD38" i="2"/>
  <c r="V38" i="2"/>
  <c r="U38" i="2"/>
  <c r="AA38" i="2" s="1"/>
  <c r="O38" i="2"/>
  <c r="N38" i="2"/>
  <c r="T38" i="2" s="1"/>
  <c r="K38" i="2"/>
  <c r="J38" i="2"/>
  <c r="AD37" i="2"/>
  <c r="V37" i="2"/>
  <c r="U37" i="2"/>
  <c r="O37" i="2"/>
  <c r="N37" i="2"/>
  <c r="R37" i="2" s="1"/>
  <c r="K37" i="2"/>
  <c r="J37" i="2"/>
  <c r="AD36" i="2"/>
  <c r="V36" i="2"/>
  <c r="U36" i="2"/>
  <c r="O36" i="2"/>
  <c r="N36" i="2"/>
  <c r="T36" i="2" s="1"/>
  <c r="K36" i="2"/>
  <c r="J36" i="2"/>
  <c r="AD35" i="2"/>
  <c r="V35" i="2"/>
  <c r="U35" i="2"/>
  <c r="X35" i="2" s="1"/>
  <c r="R35" i="2"/>
  <c r="O35" i="2"/>
  <c r="N35" i="2"/>
  <c r="K35" i="2"/>
  <c r="J35" i="2"/>
  <c r="AD34" i="2"/>
  <c r="V34" i="2"/>
  <c r="U34" i="2"/>
  <c r="W34" i="2" s="1"/>
  <c r="AC34" i="2" s="1"/>
  <c r="O34" i="2"/>
  <c r="P34" i="2" s="1"/>
  <c r="AB34" i="2" s="1"/>
  <c r="N34" i="2"/>
  <c r="T34" i="2" s="1"/>
  <c r="K34" i="2"/>
  <c r="J34" i="2"/>
  <c r="AD33" i="2"/>
  <c r="V33" i="2"/>
  <c r="U33" i="2"/>
  <c r="X33" i="2" s="1"/>
  <c r="O33" i="2"/>
  <c r="N33" i="2"/>
  <c r="R33" i="2" s="1"/>
  <c r="K33" i="2"/>
  <c r="J33" i="2"/>
  <c r="AD32" i="2"/>
  <c r="AB32" i="2"/>
  <c r="V32" i="2"/>
  <c r="U32" i="2"/>
  <c r="R32" i="2"/>
  <c r="Q32" i="2"/>
  <c r="P32" i="2"/>
  <c r="O32" i="2"/>
  <c r="N32" i="2"/>
  <c r="T32" i="2" s="1"/>
  <c r="K32" i="2"/>
  <c r="J32" i="2"/>
  <c r="AD31" i="2"/>
  <c r="V31" i="2"/>
  <c r="U31" i="2"/>
  <c r="X31" i="2" s="1"/>
  <c r="O31" i="2"/>
  <c r="N31" i="2"/>
  <c r="R31" i="2" s="1"/>
  <c r="K31" i="2"/>
  <c r="J31" i="2"/>
  <c r="AD30" i="2"/>
  <c r="Y30" i="2"/>
  <c r="X30" i="2"/>
  <c r="V30" i="2"/>
  <c r="W30" i="2" s="1"/>
  <c r="AC30" i="2" s="1"/>
  <c r="U30" i="2"/>
  <c r="AA30" i="2" s="1"/>
  <c r="O30" i="2"/>
  <c r="N30" i="2"/>
  <c r="T30" i="2" s="1"/>
  <c r="K30" i="2"/>
  <c r="J30" i="2"/>
  <c r="AD29" i="2"/>
  <c r="V29" i="2"/>
  <c r="U29" i="2"/>
  <c r="T29" i="2"/>
  <c r="O29" i="2"/>
  <c r="N29" i="2"/>
  <c r="R29" i="2" s="1"/>
  <c r="K29" i="2"/>
  <c r="J29" i="2"/>
  <c r="AD28" i="2"/>
  <c r="V28" i="2"/>
  <c r="U28" i="2"/>
  <c r="O28" i="2"/>
  <c r="N28" i="2"/>
  <c r="T28" i="2" s="1"/>
  <c r="K28" i="2"/>
  <c r="J28" i="2"/>
  <c r="AD27" i="2"/>
  <c r="AA27" i="2"/>
  <c r="Z27" i="2"/>
  <c r="V27" i="2"/>
  <c r="U27" i="2"/>
  <c r="X27" i="2" s="1"/>
  <c r="O27" i="2"/>
  <c r="N27" i="2"/>
  <c r="K27" i="2"/>
  <c r="J27" i="2"/>
  <c r="AD26" i="2"/>
  <c r="V26" i="2"/>
  <c r="U26" i="2"/>
  <c r="AA26" i="2" s="1"/>
  <c r="O26" i="2"/>
  <c r="N26" i="2"/>
  <c r="T26" i="2" s="1"/>
  <c r="K26" i="2"/>
  <c r="J26" i="2"/>
  <c r="AD25" i="2"/>
  <c r="V25" i="2"/>
  <c r="U25" i="2"/>
  <c r="X25" i="2" s="1"/>
  <c r="T25" i="2"/>
  <c r="O25" i="2"/>
  <c r="N25" i="2"/>
  <c r="R25" i="2" s="1"/>
  <c r="K25" i="2"/>
  <c r="J25" i="2"/>
  <c r="AD24" i="2"/>
  <c r="V24" i="2"/>
  <c r="U24" i="2"/>
  <c r="T24" i="2"/>
  <c r="S24" i="2"/>
  <c r="O24" i="2"/>
  <c r="N24" i="2"/>
  <c r="R24" i="2" s="1"/>
  <c r="K24" i="2"/>
  <c r="J24" i="2"/>
  <c r="AD23" i="2"/>
  <c r="AA23" i="2"/>
  <c r="V23" i="2"/>
  <c r="U23" i="2"/>
  <c r="Z23" i="2" s="1"/>
  <c r="O23" i="2"/>
  <c r="P23" i="2" s="1"/>
  <c r="N23" i="2"/>
  <c r="K23" i="2"/>
  <c r="J23" i="2"/>
  <c r="AD22" i="2"/>
  <c r="V22" i="2"/>
  <c r="W22" i="2" s="1"/>
  <c r="U22" i="2"/>
  <c r="Y22" i="2" s="1"/>
  <c r="O22" i="2"/>
  <c r="N22" i="2"/>
  <c r="S22" i="2" s="1"/>
  <c r="K22" i="2"/>
  <c r="J22" i="2"/>
  <c r="AD21" i="2"/>
  <c r="V21" i="2"/>
  <c r="U21" i="2"/>
  <c r="Z21" i="2" s="1"/>
  <c r="S21" i="2"/>
  <c r="R21" i="2"/>
  <c r="Q21" i="2"/>
  <c r="O21" i="2"/>
  <c r="N21" i="2"/>
  <c r="T21" i="2" s="1"/>
  <c r="K21" i="2"/>
  <c r="J21" i="2"/>
  <c r="AD20" i="2"/>
  <c r="Y20" i="2"/>
  <c r="X20" i="2"/>
  <c r="V20" i="2"/>
  <c r="W20" i="2" s="1"/>
  <c r="U20" i="2"/>
  <c r="AA20" i="2" s="1"/>
  <c r="O20" i="2"/>
  <c r="N20" i="2"/>
  <c r="T20" i="2" s="1"/>
  <c r="K20" i="2"/>
  <c r="J20" i="2"/>
  <c r="AD19" i="2"/>
  <c r="V19" i="2"/>
  <c r="U19" i="2"/>
  <c r="AA19" i="2" s="1"/>
  <c r="T19" i="2"/>
  <c r="S19" i="2"/>
  <c r="R19" i="2"/>
  <c r="Q19" i="2"/>
  <c r="O19" i="2"/>
  <c r="N19" i="2"/>
  <c r="K19" i="2"/>
  <c r="J19" i="2"/>
  <c r="AD18" i="2"/>
  <c r="V18" i="2"/>
  <c r="U18" i="2"/>
  <c r="W18" i="2" s="1"/>
  <c r="O18" i="2"/>
  <c r="N18" i="2"/>
  <c r="Q18" i="2" s="1"/>
  <c r="K18" i="2"/>
  <c r="J18" i="2"/>
  <c r="AD17" i="2"/>
  <c r="V17" i="2"/>
  <c r="U17" i="2"/>
  <c r="T17" i="2"/>
  <c r="S17" i="2"/>
  <c r="O17" i="2"/>
  <c r="N17" i="2"/>
  <c r="R17" i="2" s="1"/>
  <c r="K17" i="2"/>
  <c r="J17" i="2"/>
  <c r="AD16" i="2"/>
  <c r="V16" i="2"/>
  <c r="U16" i="2"/>
  <c r="Y16" i="2" s="1"/>
  <c r="S16" i="2"/>
  <c r="O16" i="2"/>
  <c r="N16" i="2"/>
  <c r="P16" i="2" s="1"/>
  <c r="K16" i="2"/>
  <c r="J16" i="2"/>
  <c r="AD15" i="2"/>
  <c r="Z15" i="2"/>
  <c r="X15" i="2"/>
  <c r="V15" i="2"/>
  <c r="W15" i="2" s="1"/>
  <c r="U15" i="2"/>
  <c r="O15" i="2"/>
  <c r="N15" i="2"/>
  <c r="K15" i="2"/>
  <c r="J15" i="2"/>
  <c r="AD14" i="2"/>
  <c r="V14" i="2"/>
  <c r="U14" i="2"/>
  <c r="T14" i="2"/>
  <c r="S14" i="2"/>
  <c r="O14" i="2"/>
  <c r="N14" i="2"/>
  <c r="R14" i="2" s="1"/>
  <c r="K14" i="2"/>
  <c r="J14" i="2"/>
  <c r="AD13" i="2"/>
  <c r="AA13" i="2"/>
  <c r="Z13" i="2"/>
  <c r="V13" i="2"/>
  <c r="U13" i="2"/>
  <c r="Y13" i="2" s="1"/>
  <c r="O13" i="2"/>
  <c r="P13" i="2" s="1"/>
  <c r="N13" i="2"/>
  <c r="AD12" i="2"/>
  <c r="V12" i="2"/>
  <c r="U12" i="2"/>
  <c r="Q12" i="2"/>
  <c r="O12" i="2"/>
  <c r="P12" i="2" s="1"/>
  <c r="N12" i="2"/>
  <c r="T12" i="2" s="1"/>
  <c r="AD11" i="2"/>
  <c r="V11" i="2"/>
  <c r="U11" i="2"/>
  <c r="O11" i="2"/>
  <c r="N11" i="2"/>
  <c r="AD10" i="2"/>
  <c r="AA10" i="2"/>
  <c r="V10" i="2"/>
  <c r="U10" i="2"/>
  <c r="Y10" i="2" s="1"/>
  <c r="O10" i="2"/>
  <c r="N10" i="2"/>
  <c r="S10" i="2" s="1"/>
  <c r="AD9" i="2"/>
  <c r="V9" i="2"/>
  <c r="U9" i="2"/>
  <c r="X9" i="2" s="1"/>
  <c r="T9" i="2"/>
  <c r="O9" i="2"/>
  <c r="N9" i="2"/>
  <c r="R9" i="2" s="1"/>
  <c r="AD8" i="2"/>
  <c r="V8" i="2"/>
  <c r="U8" i="2"/>
  <c r="W8" i="2" s="1"/>
  <c r="O8" i="2"/>
  <c r="N8" i="2"/>
  <c r="AD7" i="2"/>
  <c r="V7" i="2"/>
  <c r="U7" i="2"/>
  <c r="AA7" i="2" s="1"/>
  <c r="S7" i="2"/>
  <c r="R7" i="2"/>
  <c r="Q7" i="2"/>
  <c r="O7" i="2"/>
  <c r="N7" i="2"/>
  <c r="P7" i="2" s="1"/>
  <c r="AD6" i="2"/>
  <c r="V6" i="2"/>
  <c r="W6" i="2" s="1"/>
  <c r="U6" i="2"/>
  <c r="AA6" i="2" s="1"/>
  <c r="Q6" i="2"/>
  <c r="O6" i="2"/>
  <c r="N6" i="2"/>
  <c r="T6" i="2" s="1"/>
  <c r="AD5" i="2"/>
  <c r="V5" i="2"/>
  <c r="U5" i="2"/>
  <c r="Z5" i="2" s="1"/>
  <c r="S5" i="2"/>
  <c r="R5" i="2"/>
  <c r="Q5" i="2"/>
  <c r="O5" i="2"/>
  <c r="N5" i="2"/>
  <c r="T5" i="2" s="1"/>
  <c r="AD4" i="2"/>
  <c r="V4" i="2"/>
  <c r="U4" i="2"/>
  <c r="Y4" i="2" s="1"/>
  <c r="O4" i="2"/>
  <c r="N4" i="2"/>
  <c r="S4" i="2" s="1"/>
  <c r="M4" i="2"/>
  <c r="L4" i="2"/>
  <c r="AD3" i="2"/>
  <c r="AA3" i="2"/>
  <c r="Z3" i="2"/>
  <c r="V3" i="2"/>
  <c r="U3" i="2"/>
  <c r="X3" i="2" s="1"/>
  <c r="O3" i="2"/>
  <c r="N3" i="2"/>
  <c r="M3" i="2"/>
  <c r="L3" i="2"/>
  <c r="X34" i="2" l="1"/>
  <c r="Y34" i="2"/>
  <c r="AA34" i="2"/>
  <c r="T37" i="2"/>
  <c r="Z34" i="2"/>
  <c r="S37" i="2"/>
  <c r="P35" i="2"/>
  <c r="AB35" i="2" s="1"/>
  <c r="B82" i="2"/>
  <c r="D82" i="2"/>
  <c r="D84" i="2" s="1"/>
  <c r="D80" i="2"/>
  <c r="B81" i="2"/>
  <c r="B83" i="2" s="1"/>
  <c r="B84" i="2" s="1"/>
  <c r="W50" i="2"/>
  <c r="W73" i="2"/>
  <c r="X18" i="2"/>
  <c r="P20" i="2"/>
  <c r="W26" i="2"/>
  <c r="P28" i="2"/>
  <c r="P30" i="2"/>
  <c r="AB30" i="2" s="1"/>
  <c r="P36" i="2"/>
  <c r="AB36" i="2" s="1"/>
  <c r="W49" i="2"/>
  <c r="X50" i="2"/>
  <c r="X57" i="2"/>
  <c r="X59" i="2"/>
  <c r="X61" i="2"/>
  <c r="X63" i="2"/>
  <c r="X65" i="2"/>
  <c r="X67" i="2"/>
  <c r="X73" i="2"/>
  <c r="Z16" i="2"/>
  <c r="Y18" i="2"/>
  <c r="Q20" i="2"/>
  <c r="X26" i="2"/>
  <c r="Q28" i="2"/>
  <c r="Q30" i="2"/>
  <c r="Y35" i="2"/>
  <c r="Q36" i="2"/>
  <c r="P38" i="2"/>
  <c r="X49" i="2"/>
  <c r="Y50" i="2"/>
  <c r="T52" i="2"/>
  <c r="Y53" i="2"/>
  <c r="X55" i="2"/>
  <c r="Y57" i="2"/>
  <c r="Y59" i="2"/>
  <c r="Y61" i="2"/>
  <c r="Y63" i="2"/>
  <c r="Y65" i="2"/>
  <c r="Y67" i="2"/>
  <c r="P5" i="2"/>
  <c r="P6" i="2"/>
  <c r="S9" i="2"/>
  <c r="Z10" i="2"/>
  <c r="AA16" i="2"/>
  <c r="Z18" i="2"/>
  <c r="P21" i="2"/>
  <c r="Y26" i="2"/>
  <c r="Y27" i="2"/>
  <c r="R28" i="2"/>
  <c r="S29" i="2"/>
  <c r="Z35" i="2"/>
  <c r="R36" i="2"/>
  <c r="Q38" i="2"/>
  <c r="Z50" i="2"/>
  <c r="Z53" i="2"/>
  <c r="Y55" i="2"/>
  <c r="Z57" i="2"/>
  <c r="Z59" i="2"/>
  <c r="Z61" i="2"/>
  <c r="Z63" i="2"/>
  <c r="Z65" i="2"/>
  <c r="Z67" i="2"/>
  <c r="AA35" i="2"/>
  <c r="AA53" i="2"/>
  <c r="Z55" i="2"/>
  <c r="AA57" i="2"/>
  <c r="AA59" i="2"/>
  <c r="AA61" i="2"/>
  <c r="AA63" i="2"/>
  <c r="AA65" i="2"/>
  <c r="AA18" i="2"/>
  <c r="Z26" i="2"/>
  <c r="S28" i="2"/>
  <c r="S36" i="2"/>
  <c r="W19" i="2"/>
  <c r="W38" i="2"/>
  <c r="AA55" i="2"/>
  <c r="P71" i="2"/>
  <c r="P72" i="2"/>
  <c r="P73" i="2"/>
  <c r="T4" i="2"/>
  <c r="X8" i="2"/>
  <c r="X19" i="2"/>
  <c r="T22" i="2"/>
  <c r="Y31" i="2"/>
  <c r="X38" i="2"/>
  <c r="R42" i="2"/>
  <c r="AA51" i="2"/>
  <c r="Q71" i="2"/>
  <c r="Q72" i="2"/>
  <c r="X6" i="2"/>
  <c r="T7" i="2"/>
  <c r="Y8" i="2"/>
  <c r="R12" i="2"/>
  <c r="Z20" i="2"/>
  <c r="W23" i="2"/>
  <c r="Z30" i="2"/>
  <c r="Z31" i="2"/>
  <c r="S32" i="2"/>
  <c r="S33" i="2"/>
  <c r="Q34" i="2"/>
  <c r="Y38" i="2"/>
  <c r="S39" i="2"/>
  <c r="T40" i="2"/>
  <c r="S42" i="2"/>
  <c r="P46" i="2"/>
  <c r="W48" i="2"/>
  <c r="R71" i="2"/>
  <c r="Q73" i="2"/>
  <c r="Y6" i="2"/>
  <c r="Z8" i="2"/>
  <c r="S12" i="2"/>
  <c r="W13" i="2"/>
  <c r="P14" i="2"/>
  <c r="X23" i="2"/>
  <c r="P24" i="2"/>
  <c r="AA31" i="2"/>
  <c r="T33" i="2"/>
  <c r="Z38" i="2"/>
  <c r="Y41" i="2"/>
  <c r="T42" i="2"/>
  <c r="S47" i="2"/>
  <c r="Q49" i="2"/>
  <c r="S71" i="2"/>
  <c r="R73" i="2"/>
  <c r="AA67" i="2"/>
  <c r="W4" i="2"/>
  <c r="Z6" i="2"/>
  <c r="W7" i="2"/>
  <c r="AA8" i="2"/>
  <c r="X13" i="2"/>
  <c r="Q14" i="2"/>
  <c r="Y23" i="2"/>
  <c r="Q24" i="2"/>
  <c r="P26" i="2"/>
  <c r="Z41" i="2"/>
  <c r="W43" i="2"/>
  <c r="P44" i="2"/>
  <c r="T47" i="2"/>
  <c r="X48" i="2"/>
  <c r="R49" i="2"/>
  <c r="P50" i="2"/>
  <c r="T70" i="2"/>
  <c r="W72" i="2"/>
  <c r="S73" i="2"/>
  <c r="Y3" i="2"/>
  <c r="AA5" i="2"/>
  <c r="X7" i="2"/>
  <c r="P19" i="2"/>
  <c r="AA21" i="2"/>
  <c r="S25" i="2"/>
  <c r="Q26" i="2"/>
  <c r="AA41" i="2"/>
  <c r="Y48" i="2"/>
  <c r="S49" i="2"/>
  <c r="Q50" i="2"/>
  <c r="P54" i="2"/>
  <c r="T73" i="2"/>
  <c r="AA36" i="2"/>
  <c r="Z36" i="2"/>
  <c r="Y36" i="2"/>
  <c r="X36" i="2"/>
  <c r="W36" i="2"/>
  <c r="AC36" i="2" s="1"/>
  <c r="Z45" i="2"/>
  <c r="AA45" i="2"/>
  <c r="Y45" i="2"/>
  <c r="T13" i="2"/>
  <c r="S13" i="2"/>
  <c r="R13" i="2"/>
  <c r="Q13" i="2"/>
  <c r="AA32" i="2"/>
  <c r="Z32" i="2"/>
  <c r="Y32" i="2"/>
  <c r="X32" i="2"/>
  <c r="W32" i="2"/>
  <c r="AC32" i="2" s="1"/>
  <c r="T35" i="2"/>
  <c r="S35" i="2"/>
  <c r="Q35" i="2"/>
  <c r="AA17" i="2"/>
  <c r="Z17" i="2"/>
  <c r="Y17" i="2"/>
  <c r="W17" i="2"/>
  <c r="AA37" i="2"/>
  <c r="Z37" i="2"/>
  <c r="Y37" i="2"/>
  <c r="W37" i="2"/>
  <c r="AC37" i="2" s="1"/>
  <c r="W54" i="2"/>
  <c r="AA54" i="2"/>
  <c r="Z54" i="2"/>
  <c r="Y54" i="2"/>
  <c r="X54" i="2"/>
  <c r="X17" i="2"/>
  <c r="AA33" i="2"/>
  <c r="Z33" i="2"/>
  <c r="Y33" i="2"/>
  <c r="W33" i="2"/>
  <c r="AC33" i="2" s="1"/>
  <c r="X37" i="2"/>
  <c r="T41" i="2"/>
  <c r="S41" i="2"/>
  <c r="Q41" i="2"/>
  <c r="W45" i="2"/>
  <c r="X47" i="2"/>
  <c r="AA47" i="2"/>
  <c r="Z47" i="2"/>
  <c r="Y47" i="2"/>
  <c r="W47" i="2"/>
  <c r="AA29" i="2"/>
  <c r="Z29" i="2"/>
  <c r="Y29" i="2"/>
  <c r="W29" i="2"/>
  <c r="AC29" i="2" s="1"/>
  <c r="R69" i="2"/>
  <c r="T69" i="2"/>
  <c r="S69" i="2"/>
  <c r="Q69" i="2"/>
  <c r="P10" i="2"/>
  <c r="AA11" i="2"/>
  <c r="Y11" i="2"/>
  <c r="AA24" i="2"/>
  <c r="Z24" i="2"/>
  <c r="Y24" i="2"/>
  <c r="X24" i="2"/>
  <c r="W24" i="2"/>
  <c r="T27" i="2"/>
  <c r="S27" i="2"/>
  <c r="Q27" i="2"/>
  <c r="P31" i="2"/>
  <c r="AB31" i="2" s="1"/>
  <c r="AA40" i="2"/>
  <c r="Z40" i="2"/>
  <c r="X40" i="2"/>
  <c r="T43" i="2"/>
  <c r="S43" i="2"/>
  <c r="R43" i="2"/>
  <c r="Q43" i="2"/>
  <c r="R53" i="2"/>
  <c r="T53" i="2"/>
  <c r="S53" i="2"/>
  <c r="Q53" i="2"/>
  <c r="Q57" i="2"/>
  <c r="T57" i="2"/>
  <c r="S57" i="2"/>
  <c r="R57" i="2"/>
  <c r="P57" i="2"/>
  <c r="Q59" i="2"/>
  <c r="T59" i="2"/>
  <c r="S59" i="2"/>
  <c r="R59" i="2"/>
  <c r="P59" i="2"/>
  <c r="Q61" i="2"/>
  <c r="T61" i="2"/>
  <c r="S61" i="2"/>
  <c r="R61" i="2"/>
  <c r="P61" i="2"/>
  <c r="Q63" i="2"/>
  <c r="T63" i="2"/>
  <c r="S63" i="2"/>
  <c r="R63" i="2"/>
  <c r="P63" i="2"/>
  <c r="Q65" i="2"/>
  <c r="T65" i="2"/>
  <c r="S65" i="2"/>
  <c r="R65" i="2"/>
  <c r="P65" i="2"/>
  <c r="Q67" i="2"/>
  <c r="T67" i="2"/>
  <c r="S67" i="2"/>
  <c r="R67" i="2"/>
  <c r="P67" i="2"/>
  <c r="T3" i="2"/>
  <c r="S3" i="2"/>
  <c r="Q3" i="2"/>
  <c r="Q10" i="2"/>
  <c r="T15" i="2"/>
  <c r="S15" i="2"/>
  <c r="R15" i="2"/>
  <c r="Q15" i="2"/>
  <c r="P15" i="2"/>
  <c r="T16" i="2"/>
  <c r="R16" i="2"/>
  <c r="T23" i="2"/>
  <c r="S23" i="2"/>
  <c r="Q23" i="2"/>
  <c r="AA25" i="2"/>
  <c r="Z25" i="2"/>
  <c r="Y25" i="2"/>
  <c r="W25" i="2"/>
  <c r="X29" i="2"/>
  <c r="Q55" i="2"/>
  <c r="T55" i="2"/>
  <c r="S55" i="2"/>
  <c r="R55" i="2"/>
  <c r="P55" i="2"/>
  <c r="P69" i="2"/>
  <c r="T8" i="2"/>
  <c r="S8" i="2"/>
  <c r="R8" i="2"/>
  <c r="P8" i="2"/>
  <c r="P3" i="2"/>
  <c r="Q8" i="2"/>
  <c r="W11" i="2"/>
  <c r="P27" i="2"/>
  <c r="W40" i="2"/>
  <c r="P43" i="2"/>
  <c r="P53" i="2"/>
  <c r="AA70" i="2"/>
  <c r="Z70" i="2"/>
  <c r="X70" i="2"/>
  <c r="T45" i="2"/>
  <c r="S45" i="2"/>
  <c r="R45" i="2"/>
  <c r="Q45" i="2"/>
  <c r="P45" i="2"/>
  <c r="AA14" i="2"/>
  <c r="Z14" i="2"/>
  <c r="Y14" i="2"/>
  <c r="X14" i="2"/>
  <c r="W14" i="2"/>
  <c r="W56" i="2"/>
  <c r="AA56" i="2"/>
  <c r="Z56" i="2"/>
  <c r="Y56" i="2"/>
  <c r="X56" i="2"/>
  <c r="W58" i="2"/>
  <c r="AA58" i="2"/>
  <c r="Z58" i="2"/>
  <c r="Y58" i="2"/>
  <c r="X58" i="2"/>
  <c r="W60" i="2"/>
  <c r="AA60" i="2"/>
  <c r="Z60" i="2"/>
  <c r="Y60" i="2"/>
  <c r="X60" i="2"/>
  <c r="W62" i="2"/>
  <c r="AA62" i="2"/>
  <c r="Z62" i="2"/>
  <c r="Y62" i="2"/>
  <c r="X62" i="2"/>
  <c r="W64" i="2"/>
  <c r="AA64" i="2"/>
  <c r="Z64" i="2"/>
  <c r="Y64" i="2"/>
  <c r="X64" i="2"/>
  <c r="W66" i="2"/>
  <c r="AA66" i="2"/>
  <c r="Z66" i="2"/>
  <c r="Y66" i="2"/>
  <c r="X66" i="2"/>
  <c r="W68" i="2"/>
  <c r="AA68" i="2"/>
  <c r="Z68" i="2"/>
  <c r="Y68" i="2"/>
  <c r="X68" i="2"/>
  <c r="T10" i="2"/>
  <c r="R10" i="2"/>
  <c r="T11" i="2"/>
  <c r="S11" i="2"/>
  <c r="R11" i="2"/>
  <c r="Q11" i="2"/>
  <c r="P11" i="2"/>
  <c r="AA28" i="2"/>
  <c r="Z28" i="2"/>
  <c r="Y28" i="2"/>
  <c r="X28" i="2"/>
  <c r="W28" i="2"/>
  <c r="T31" i="2"/>
  <c r="S31" i="2"/>
  <c r="Q31" i="2"/>
  <c r="AA44" i="2"/>
  <c r="Z44" i="2"/>
  <c r="Y44" i="2"/>
  <c r="X44" i="2"/>
  <c r="W44" i="2"/>
  <c r="X45" i="2"/>
  <c r="R3" i="2"/>
  <c r="AA4" i="2"/>
  <c r="Z4" i="2"/>
  <c r="X4" i="2"/>
  <c r="X11" i="2"/>
  <c r="AA12" i="2"/>
  <c r="Z12" i="2"/>
  <c r="Y12" i="2"/>
  <c r="X12" i="2"/>
  <c r="W12" i="2"/>
  <c r="AA15" i="2"/>
  <c r="Y15" i="2"/>
  <c r="T18" i="2"/>
  <c r="S18" i="2"/>
  <c r="R18" i="2"/>
  <c r="P18" i="2"/>
  <c r="R27" i="2"/>
  <c r="Y40" i="2"/>
  <c r="AA9" i="2"/>
  <c r="Z9" i="2"/>
  <c r="Y9" i="2"/>
  <c r="W9" i="2"/>
  <c r="Z11" i="2"/>
  <c r="Q16" i="2"/>
  <c r="AA22" i="2"/>
  <c r="Z22" i="2"/>
  <c r="X22" i="2"/>
  <c r="R23" i="2"/>
  <c r="AA42" i="2"/>
  <c r="Z42" i="2"/>
  <c r="Y42" i="2"/>
  <c r="X42" i="2"/>
  <c r="S46" i="2"/>
  <c r="T46" i="2"/>
  <c r="R46" i="2"/>
  <c r="Q48" i="2"/>
  <c r="T48" i="2"/>
  <c r="S48" i="2"/>
  <c r="R48" i="2"/>
  <c r="P48" i="2"/>
  <c r="Y52" i="2"/>
  <c r="AA52" i="2"/>
  <c r="Z52" i="2"/>
  <c r="X52" i="2"/>
  <c r="W70" i="2"/>
  <c r="P4" i="2"/>
  <c r="W5" i="2"/>
  <c r="R6" i="2"/>
  <c r="Y7" i="2"/>
  <c r="Y19" i="2"/>
  <c r="R20" i="2"/>
  <c r="W21" i="2"/>
  <c r="P22" i="2"/>
  <c r="R26" i="2"/>
  <c r="R30" i="2"/>
  <c r="R34" i="2"/>
  <c r="R38" i="2"/>
  <c r="W39" i="2"/>
  <c r="P40" i="2"/>
  <c r="Y49" i="2"/>
  <c r="R50" i="2"/>
  <c r="W51" i="2"/>
  <c r="P52" i="2"/>
  <c r="P70" i="2"/>
  <c r="W71" i="2"/>
  <c r="R72" i="2"/>
  <c r="Y73" i="2"/>
  <c r="Q4" i="2"/>
  <c r="X5" i="2"/>
  <c r="S6" i="2"/>
  <c r="Z7" i="2"/>
  <c r="P9" i="2"/>
  <c r="W10" i="2"/>
  <c r="W16" i="2"/>
  <c r="P17" i="2"/>
  <c r="Z19" i="2"/>
  <c r="S20" i="2"/>
  <c r="X21" i="2"/>
  <c r="Q22" i="2"/>
  <c r="P25" i="2"/>
  <c r="S26" i="2"/>
  <c r="P29" i="2"/>
  <c r="AB29" i="2" s="1"/>
  <c r="S30" i="2"/>
  <c r="P33" i="2"/>
  <c r="AB33" i="2" s="1"/>
  <c r="S34" i="2"/>
  <c r="P37" i="2"/>
  <c r="AB37" i="2" s="1"/>
  <c r="S38" i="2"/>
  <c r="X39" i="2"/>
  <c r="Q40" i="2"/>
  <c r="W46" i="2"/>
  <c r="P47" i="2"/>
  <c r="Z49" i="2"/>
  <c r="S50" i="2"/>
  <c r="X51" i="2"/>
  <c r="Q52" i="2"/>
  <c r="Q70" i="2"/>
  <c r="X71" i="2"/>
  <c r="S72" i="2"/>
  <c r="Z73" i="2"/>
  <c r="W3" i="2"/>
  <c r="R4" i="2"/>
  <c r="Y5" i="2"/>
  <c r="Q9" i="2"/>
  <c r="X10" i="2"/>
  <c r="X16" i="2"/>
  <c r="Q17" i="2"/>
  <c r="Y21" i="2"/>
  <c r="R22" i="2"/>
  <c r="Q25" i="2"/>
  <c r="W27" i="2"/>
  <c r="Q29" i="2"/>
  <c r="W31" i="2"/>
  <c r="AC31" i="2" s="1"/>
  <c r="Q33" i="2"/>
  <c r="W35" i="2"/>
  <c r="AC35" i="2" s="1"/>
  <c r="Q37" i="2"/>
  <c r="Y39" i="2"/>
  <c r="R40" i="2"/>
  <c r="W41" i="2"/>
  <c r="P42" i="2"/>
  <c r="X46" i="2"/>
  <c r="Q47" i="2"/>
  <c r="Y51" i="2"/>
  <c r="R52" i="2"/>
  <c r="W53" i="2"/>
  <c r="P56" i="2"/>
  <c r="R70" i="2"/>
  <c r="Y71" i="2"/>
</calcChain>
</file>

<file path=xl/sharedStrings.xml><?xml version="1.0" encoding="utf-8"?>
<sst xmlns="http://schemas.openxmlformats.org/spreadsheetml/2006/main" count="89" uniqueCount="56">
  <si>
    <t>STRIKE</t>
  </si>
  <si>
    <t>CALL OPTION</t>
  </si>
  <si>
    <t xml:space="preserve">PUT OPTION </t>
  </si>
  <si>
    <t>STATS</t>
  </si>
  <si>
    <t xml:space="preserve">CALL </t>
  </si>
  <si>
    <t xml:space="preserve">PUT </t>
  </si>
  <si>
    <t xml:space="preserve">OPEN </t>
  </si>
  <si>
    <t>HIGH</t>
  </si>
  <si>
    <t xml:space="preserve">LOW </t>
  </si>
  <si>
    <t>CLOSE</t>
  </si>
  <si>
    <t xml:space="preserve">MID POINT </t>
  </si>
  <si>
    <t>TP</t>
  </si>
  <si>
    <t>Resistance</t>
  </si>
  <si>
    <t>Support</t>
  </si>
  <si>
    <t>P</t>
  </si>
  <si>
    <t>BC</t>
  </si>
  <si>
    <t>TC</t>
  </si>
  <si>
    <t>R1</t>
  </si>
  <si>
    <t>R2</t>
  </si>
  <si>
    <t>S1</t>
  </si>
  <si>
    <t>S2</t>
  </si>
  <si>
    <t>CALL TREND</t>
  </si>
  <si>
    <t>PUT TREND</t>
  </si>
  <si>
    <t>MID STRIKE</t>
  </si>
  <si>
    <t>CPR</t>
  </si>
  <si>
    <t xml:space="preserve">CE CLOSE </t>
  </si>
  <si>
    <t xml:space="preserve">PE CLOSE </t>
  </si>
  <si>
    <t>RES</t>
  </si>
  <si>
    <t>R3</t>
  </si>
  <si>
    <t>WRR</t>
  </si>
  <si>
    <t>R4</t>
  </si>
  <si>
    <t>SUP</t>
  </si>
  <si>
    <t>WRS</t>
  </si>
  <si>
    <t>OPEN</t>
  </si>
  <si>
    <t>Srike</t>
  </si>
  <si>
    <t>MID Strike  Price</t>
  </si>
  <si>
    <t>x</t>
  </si>
  <si>
    <t>High</t>
  </si>
  <si>
    <t>Low</t>
  </si>
  <si>
    <t>Close</t>
  </si>
  <si>
    <t>P.D.Open</t>
  </si>
  <si>
    <t xml:space="preserve">ACTIVE CONTRACTS </t>
  </si>
  <si>
    <t>NIFTY 50 INDEX</t>
  </si>
  <si>
    <t>option</t>
  </si>
  <si>
    <t>strike</t>
  </si>
  <si>
    <t>strike /low</t>
  </si>
  <si>
    <t>strike/close</t>
  </si>
  <si>
    <t>MONTHLY 30/03/2026</t>
  </si>
  <si>
    <t>S3</t>
  </si>
  <si>
    <t>S4</t>
  </si>
  <si>
    <t xml:space="preserve">High </t>
  </si>
  <si>
    <t>Open</t>
  </si>
  <si>
    <t>STRADDLE</t>
  </si>
  <si>
    <t>CE</t>
  </si>
  <si>
    <t>PE</t>
  </si>
  <si>
    <t xml:space="preserve">ATM 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</si>
</sst>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/>
      <name val="Times New Roman"/>
      <family val="1"/>
    </font>
    <font>
      <b/>
      <sz val="9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3.5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B5E6A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rgb="FF00B05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4" fontId="6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9" fillId="12" borderId="1" xfId="0" applyNumberFormat="1" applyFont="1" applyFill="1" applyBorder="1" applyAlignment="1">
      <alignment horizontal="center"/>
    </xf>
    <xf numFmtId="2" fontId="10" fillId="12" borderId="1" xfId="0" applyNumberFormat="1" applyFont="1" applyFill="1" applyBorder="1" applyAlignment="1">
      <alignment horizontal="center"/>
    </xf>
    <xf numFmtId="2" fontId="11" fillId="1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8" fillId="16" borderId="1" xfId="0" applyNumberFormat="1" applyFont="1" applyFill="1" applyBorder="1" applyAlignment="1">
      <alignment horizontal="center"/>
    </xf>
    <xf numFmtId="2" fontId="9" fillId="17" borderId="1" xfId="0" applyNumberFormat="1" applyFont="1" applyFill="1" applyBorder="1" applyAlignment="1">
      <alignment horizontal="center"/>
    </xf>
    <xf numFmtId="2" fontId="12" fillId="18" borderId="1" xfId="0" applyNumberFormat="1" applyFont="1" applyFill="1" applyBorder="1" applyAlignment="1">
      <alignment horizontal="center"/>
    </xf>
    <xf numFmtId="2" fontId="13" fillId="19" borderId="1" xfId="0" applyNumberFormat="1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 vertical="center" wrapText="1"/>
    </xf>
    <xf numFmtId="2" fontId="9" fillId="18" borderId="1" xfId="0" applyNumberFormat="1" applyFont="1" applyFill="1" applyBorder="1" applyAlignment="1">
      <alignment horizontal="center"/>
    </xf>
    <xf numFmtId="2" fontId="14" fillId="20" borderId="1" xfId="0" applyNumberFormat="1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13" fillId="19" borderId="1" xfId="0" applyNumberFormat="1" applyFont="1" applyFill="1" applyBorder="1" applyAlignment="1">
      <alignment horizontal="center" vertical="center" wrapText="1"/>
    </xf>
    <xf numFmtId="2" fontId="9" fillId="21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14" fillId="20" borderId="1" xfId="0" applyNumberFormat="1" applyFont="1" applyFill="1" applyBorder="1" applyAlignment="1">
      <alignment horizontal="center" vertical="center" wrapText="1"/>
    </xf>
    <xf numFmtId="2" fontId="0" fillId="22" borderId="1" xfId="0" applyNumberFormat="1" applyFill="1" applyBorder="1" applyAlignment="1">
      <alignment horizontal="center"/>
    </xf>
    <xf numFmtId="2" fontId="16" fillId="23" borderId="1" xfId="0" applyNumberFormat="1" applyFont="1" applyFill="1" applyBorder="1" applyAlignment="1">
      <alignment horizontal="center"/>
    </xf>
    <xf numFmtId="2" fontId="2" fillId="24" borderId="1" xfId="0" applyNumberFormat="1" applyFont="1" applyFill="1" applyBorder="1" applyAlignment="1">
      <alignment horizontal="center"/>
    </xf>
    <xf numFmtId="2" fontId="3" fillId="25" borderId="1" xfId="0" applyNumberFormat="1" applyFont="1" applyFill="1" applyBorder="1" applyAlignment="1">
      <alignment horizontal="center"/>
    </xf>
    <xf numFmtId="2" fontId="9" fillId="25" borderId="1" xfId="0" applyNumberFormat="1" applyFont="1" applyFill="1" applyBorder="1" applyAlignment="1">
      <alignment horizontal="center"/>
    </xf>
    <xf numFmtId="2" fontId="0" fillId="26" borderId="1" xfId="0" applyNumberFormat="1" applyFill="1" applyBorder="1" applyAlignment="1">
      <alignment horizontal="center"/>
    </xf>
    <xf numFmtId="1" fontId="0" fillId="26" borderId="1" xfId="0" applyNumberForma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17" fillId="1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2" fontId="15" fillId="4" borderId="3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/>
    </xf>
    <xf numFmtId="2" fontId="15" fillId="4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2" fontId="15" fillId="27" borderId="4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2" fontId="12" fillId="28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2" fontId="0" fillId="29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2" fontId="8" fillId="14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8" fillId="13" borderId="6" xfId="0" applyNumberFormat="1" applyFont="1" applyFill="1" applyBorder="1" applyAlignment="1">
      <alignment horizontal="center"/>
    </xf>
    <xf numFmtId="2" fontId="8" fillId="13" borderId="2" xfId="0" applyNumberFormat="1" applyFont="1" applyFill="1" applyBorder="1" applyAlignment="1">
      <alignment horizontal="center"/>
    </xf>
    <xf numFmtId="2" fontId="8" fillId="1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fgColor rgb="FFFF0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1E26-25A9-4F7E-BD9A-40C245BB8FE6}">
  <dimension ref="A1:AD121"/>
  <sheetViews>
    <sheetView tabSelected="1" topLeftCell="P21" workbookViewId="0">
      <selection activeCell="AD33" sqref="AD33"/>
    </sheetView>
  </sheetViews>
  <sheetFormatPr defaultRowHeight="14.4" x14ac:dyDescent="0.3"/>
  <cols>
    <col min="1" max="1" width="18.6640625" style="5" customWidth="1"/>
    <col min="2" max="2" width="21.77734375" style="22" customWidth="1"/>
    <col min="3" max="3" width="23.33203125" style="22" customWidth="1"/>
    <col min="4" max="4" width="20.77734375" style="22" customWidth="1"/>
    <col min="5" max="5" width="12.33203125" style="49" customWidth="1"/>
    <col min="6" max="6" width="13.88671875" style="22" customWidth="1"/>
    <col min="7" max="7" width="8.88671875" style="22"/>
    <col min="8" max="8" width="17.6640625" style="22" customWidth="1"/>
    <col min="9" max="9" width="24.6640625" style="49" customWidth="1"/>
    <col min="10" max="10" width="26.77734375" style="2" customWidth="1"/>
    <col min="11" max="11" width="12.21875" style="2" customWidth="1"/>
    <col min="12" max="13" width="17.44140625" style="48" customWidth="1"/>
    <col min="14" max="14" width="17.44140625" style="22" customWidth="1"/>
    <col min="15" max="15" width="17" style="22" customWidth="1"/>
    <col min="16" max="16" width="19" style="22" customWidth="1"/>
    <col min="17" max="20" width="8.88671875" style="22"/>
    <col min="21" max="21" width="14.21875" style="22" customWidth="1"/>
    <col min="22" max="27" width="8.88671875" style="22"/>
    <col min="28" max="28" width="17.77734375" style="5" customWidth="1"/>
    <col min="29" max="29" width="14.77734375" style="5" customWidth="1"/>
    <col min="30" max="16384" width="8.88671875" style="5"/>
  </cols>
  <sheetData>
    <row r="1" spans="1:30" x14ac:dyDescent="0.3">
      <c r="A1" s="1" t="s">
        <v>0</v>
      </c>
      <c r="B1" s="74" t="s">
        <v>1</v>
      </c>
      <c r="C1" s="71"/>
      <c r="D1" s="71"/>
      <c r="E1" s="72"/>
      <c r="F1" s="75" t="s">
        <v>2</v>
      </c>
      <c r="G1" s="71"/>
      <c r="H1" s="71"/>
      <c r="I1" s="72"/>
      <c r="J1" s="76" t="s">
        <v>3</v>
      </c>
      <c r="K1" s="71"/>
      <c r="L1" s="71"/>
      <c r="M1" s="72"/>
      <c r="N1" s="77" t="s">
        <v>4</v>
      </c>
      <c r="O1" s="71"/>
      <c r="P1" s="71"/>
      <c r="Q1" s="71"/>
      <c r="R1" s="71"/>
      <c r="S1" s="71"/>
      <c r="T1" s="72"/>
      <c r="U1" s="70" t="s">
        <v>5</v>
      </c>
      <c r="V1" s="71"/>
      <c r="W1" s="71"/>
      <c r="X1" s="71"/>
      <c r="Y1" s="71"/>
      <c r="Z1" s="71"/>
      <c r="AA1" s="72"/>
    </row>
    <row r="2" spans="1:30" s="7" customFormat="1" ht="18" customHeight="1" x14ac:dyDescent="0.35">
      <c r="A2" s="6"/>
      <c r="B2" s="6" t="s">
        <v>6</v>
      </c>
      <c r="C2" s="6" t="s">
        <v>7</v>
      </c>
      <c r="D2" s="6" t="s">
        <v>8</v>
      </c>
      <c r="E2" s="6" t="s">
        <v>9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14</v>
      </c>
      <c r="V2" s="8" t="s">
        <v>15</v>
      </c>
      <c r="W2" s="8" t="s">
        <v>16</v>
      </c>
      <c r="X2" s="8" t="s">
        <v>17</v>
      </c>
      <c r="Y2" s="8" t="s">
        <v>18</v>
      </c>
      <c r="Z2" s="8" t="s">
        <v>19</v>
      </c>
      <c r="AA2" s="8" t="s">
        <v>20</v>
      </c>
      <c r="AB2" s="9" t="s">
        <v>21</v>
      </c>
      <c r="AC2" s="9" t="s">
        <v>22</v>
      </c>
      <c r="AD2" s="10" t="s">
        <v>23</v>
      </c>
    </row>
    <row r="3" spans="1:30" x14ac:dyDescent="0.3">
      <c r="A3" s="11"/>
      <c r="B3" s="12"/>
      <c r="C3" s="12"/>
      <c r="D3" s="12"/>
      <c r="E3" s="13"/>
      <c r="F3" s="14"/>
      <c r="G3" s="14"/>
      <c r="H3" s="14"/>
      <c r="I3" s="15"/>
      <c r="J3" s="16"/>
      <c r="K3" s="16"/>
      <c r="L3" s="17">
        <f t="shared" ref="L3:L4" si="0">A3+E3</f>
        <v>0</v>
      </c>
      <c r="M3" s="18">
        <f t="shared" ref="M3:M4" si="1">A3-I3</f>
        <v>0</v>
      </c>
      <c r="N3" s="3">
        <f t="shared" ref="N3:N66" si="2">(C3+D3+E3)/3</f>
        <v>0</v>
      </c>
      <c r="O3" s="3">
        <f t="shared" ref="O3:O66" si="3">(C3+D3)/2</f>
        <v>0</v>
      </c>
      <c r="P3" s="3">
        <f t="shared" ref="P3:P66" si="4">(N3-O3)+N3</f>
        <v>0</v>
      </c>
      <c r="Q3" s="3">
        <f t="shared" ref="Q3:Q66" si="5">2*N3-D3</f>
        <v>0</v>
      </c>
      <c r="R3" s="3">
        <f t="shared" ref="R3:R66" si="6">N3+(C3-D3)</f>
        <v>0</v>
      </c>
      <c r="S3" s="3">
        <f t="shared" ref="S3:S66" si="7">(2*N3)-C3</f>
        <v>0</v>
      </c>
      <c r="T3" s="3">
        <f t="shared" ref="T3:T66" si="8">N3-(C3-D3)</f>
        <v>0</v>
      </c>
      <c r="U3" s="4">
        <f t="shared" ref="U3:U66" si="9">(G3+H3+I3)/3</f>
        <v>0</v>
      </c>
      <c r="V3" s="4">
        <f t="shared" ref="V3:V66" si="10">(G3+H3)/2</f>
        <v>0</v>
      </c>
      <c r="W3" s="4">
        <f t="shared" ref="W3:W66" si="11">(U3-V3)+U3</f>
        <v>0</v>
      </c>
      <c r="X3" s="4">
        <f t="shared" ref="X3:X66" si="12">2*U3-H3</f>
        <v>0</v>
      </c>
      <c r="Y3" s="4">
        <f t="shared" ref="Y3:Y66" si="13">U3+(G3-H3)</f>
        <v>0</v>
      </c>
      <c r="Z3" s="4">
        <f t="shared" ref="Z3:Z66" si="14">(2*U3)-G3</f>
        <v>0</v>
      </c>
      <c r="AA3" s="4">
        <f t="shared" ref="AA3:AA66" si="15">U3-(G3-H3)</f>
        <v>0</v>
      </c>
      <c r="AD3" s="5">
        <f t="shared" ref="AD3:AD53" si="16">E3-I3</f>
        <v>0</v>
      </c>
    </row>
    <row r="4" spans="1:30" x14ac:dyDescent="0.3">
      <c r="A4" s="19"/>
      <c r="B4" s="12"/>
      <c r="C4" s="12"/>
      <c r="D4" s="12"/>
      <c r="E4" s="13"/>
      <c r="F4" s="14"/>
      <c r="G4" s="14"/>
      <c r="H4" s="14"/>
      <c r="I4" s="15"/>
      <c r="J4" s="16"/>
      <c r="K4" s="16"/>
      <c r="L4" s="17">
        <f t="shared" si="0"/>
        <v>0</v>
      </c>
      <c r="M4" s="18">
        <f t="shared" si="1"/>
        <v>0</v>
      </c>
      <c r="N4" s="3">
        <f t="shared" si="2"/>
        <v>0</v>
      </c>
      <c r="O4" s="3">
        <f t="shared" si="3"/>
        <v>0</v>
      </c>
      <c r="P4" s="3">
        <f t="shared" si="4"/>
        <v>0</v>
      </c>
      <c r="Q4" s="3">
        <f t="shared" si="5"/>
        <v>0</v>
      </c>
      <c r="R4" s="3">
        <f t="shared" si="6"/>
        <v>0</v>
      </c>
      <c r="S4" s="3">
        <f t="shared" si="7"/>
        <v>0</v>
      </c>
      <c r="T4" s="3">
        <f t="shared" si="8"/>
        <v>0</v>
      </c>
      <c r="U4" s="4">
        <f t="shared" si="9"/>
        <v>0</v>
      </c>
      <c r="V4" s="4">
        <f t="shared" si="10"/>
        <v>0</v>
      </c>
      <c r="W4" s="4">
        <f t="shared" si="11"/>
        <v>0</v>
      </c>
      <c r="X4" s="4">
        <f t="shared" si="12"/>
        <v>0</v>
      </c>
      <c r="Y4" s="4">
        <f t="shared" si="13"/>
        <v>0</v>
      </c>
      <c r="Z4" s="4">
        <f t="shared" si="14"/>
        <v>0</v>
      </c>
      <c r="AA4" s="4">
        <f t="shared" si="15"/>
        <v>0</v>
      </c>
      <c r="AD4" s="5">
        <f t="shared" si="16"/>
        <v>0</v>
      </c>
    </row>
    <row r="5" spans="1:30" x14ac:dyDescent="0.3">
      <c r="A5" s="11"/>
      <c r="B5" s="12"/>
      <c r="C5" s="12"/>
      <c r="D5" s="12"/>
      <c r="E5" s="13"/>
      <c r="F5" s="14"/>
      <c r="G5" s="14"/>
      <c r="H5" s="14"/>
      <c r="I5" s="15"/>
      <c r="J5" s="16"/>
      <c r="K5" s="16"/>
      <c r="L5" s="17">
        <f t="shared" ref="L5:L68" si="17">A5+E5</f>
        <v>0</v>
      </c>
      <c r="M5" s="18">
        <f t="shared" ref="M5:M68" si="18">A5-I5</f>
        <v>0</v>
      </c>
      <c r="N5" s="3">
        <f t="shared" si="2"/>
        <v>0</v>
      </c>
      <c r="O5" s="3">
        <f t="shared" si="3"/>
        <v>0</v>
      </c>
      <c r="P5" s="3">
        <f t="shared" si="4"/>
        <v>0</v>
      </c>
      <c r="Q5" s="3">
        <f t="shared" si="5"/>
        <v>0</v>
      </c>
      <c r="R5" s="3">
        <f t="shared" si="6"/>
        <v>0</v>
      </c>
      <c r="S5" s="3">
        <f t="shared" si="7"/>
        <v>0</v>
      </c>
      <c r="T5" s="3">
        <f t="shared" si="8"/>
        <v>0</v>
      </c>
      <c r="U5" s="4">
        <f t="shared" si="9"/>
        <v>0</v>
      </c>
      <c r="V5" s="4">
        <f t="shared" si="10"/>
        <v>0</v>
      </c>
      <c r="W5" s="4">
        <f t="shared" si="11"/>
        <v>0</v>
      </c>
      <c r="X5" s="4">
        <f t="shared" si="12"/>
        <v>0</v>
      </c>
      <c r="Y5" s="4">
        <f t="shared" si="13"/>
        <v>0</v>
      </c>
      <c r="Z5" s="4">
        <f t="shared" si="14"/>
        <v>0</v>
      </c>
      <c r="AA5" s="4">
        <f t="shared" si="15"/>
        <v>0</v>
      </c>
      <c r="AD5" s="5">
        <f t="shared" si="16"/>
        <v>0</v>
      </c>
    </row>
    <row r="6" spans="1:30" x14ac:dyDescent="0.3">
      <c r="A6" s="19"/>
      <c r="B6" s="12"/>
      <c r="C6" s="12"/>
      <c r="D6" s="12"/>
      <c r="E6" s="13"/>
      <c r="F6" s="14"/>
      <c r="G6" s="14"/>
      <c r="H6" s="14"/>
      <c r="I6" s="15"/>
      <c r="J6" s="16"/>
      <c r="K6" s="16"/>
      <c r="L6" s="17">
        <f t="shared" si="17"/>
        <v>0</v>
      </c>
      <c r="M6" s="18">
        <f t="shared" si="18"/>
        <v>0</v>
      </c>
      <c r="N6" s="3">
        <f t="shared" si="2"/>
        <v>0</v>
      </c>
      <c r="O6" s="3">
        <f t="shared" si="3"/>
        <v>0</v>
      </c>
      <c r="P6" s="3">
        <f t="shared" si="4"/>
        <v>0</v>
      </c>
      <c r="Q6" s="3">
        <f t="shared" si="5"/>
        <v>0</v>
      </c>
      <c r="R6" s="3">
        <f t="shared" si="6"/>
        <v>0</v>
      </c>
      <c r="S6" s="3">
        <f t="shared" si="7"/>
        <v>0</v>
      </c>
      <c r="T6" s="3">
        <f t="shared" si="8"/>
        <v>0</v>
      </c>
      <c r="U6" s="4">
        <f t="shared" si="9"/>
        <v>0</v>
      </c>
      <c r="V6" s="4">
        <f t="shared" si="10"/>
        <v>0</v>
      </c>
      <c r="W6" s="4">
        <f t="shared" si="11"/>
        <v>0</v>
      </c>
      <c r="X6" s="4">
        <f t="shared" si="12"/>
        <v>0</v>
      </c>
      <c r="Y6" s="4">
        <f t="shared" si="13"/>
        <v>0</v>
      </c>
      <c r="Z6" s="4">
        <f t="shared" si="14"/>
        <v>0</v>
      </c>
      <c r="AA6" s="4">
        <f t="shared" si="15"/>
        <v>0</v>
      </c>
      <c r="AD6" s="5">
        <f t="shared" si="16"/>
        <v>0</v>
      </c>
    </row>
    <row r="7" spans="1:30" x14ac:dyDescent="0.3">
      <c r="A7" s="11"/>
      <c r="B7" s="12"/>
      <c r="C7" s="12"/>
      <c r="D7" s="12"/>
      <c r="E7" s="13"/>
      <c r="F7" s="14"/>
      <c r="G7" s="14"/>
      <c r="H7" s="14"/>
      <c r="I7" s="15"/>
      <c r="J7" s="16"/>
      <c r="K7" s="16"/>
      <c r="L7" s="17">
        <f t="shared" si="17"/>
        <v>0</v>
      </c>
      <c r="M7" s="18">
        <f t="shared" si="18"/>
        <v>0</v>
      </c>
      <c r="N7" s="3">
        <f t="shared" si="2"/>
        <v>0</v>
      </c>
      <c r="O7" s="3">
        <f t="shared" si="3"/>
        <v>0</v>
      </c>
      <c r="P7" s="3">
        <f t="shared" si="4"/>
        <v>0</v>
      </c>
      <c r="Q7" s="3">
        <f t="shared" si="5"/>
        <v>0</v>
      </c>
      <c r="R7" s="3">
        <f t="shared" si="6"/>
        <v>0</v>
      </c>
      <c r="S7" s="3">
        <f t="shared" si="7"/>
        <v>0</v>
      </c>
      <c r="T7" s="3">
        <f t="shared" si="8"/>
        <v>0</v>
      </c>
      <c r="U7" s="4">
        <f t="shared" si="9"/>
        <v>0</v>
      </c>
      <c r="V7" s="4">
        <f t="shared" si="10"/>
        <v>0</v>
      </c>
      <c r="W7" s="4">
        <f t="shared" si="11"/>
        <v>0</v>
      </c>
      <c r="X7" s="4">
        <f t="shared" si="12"/>
        <v>0</v>
      </c>
      <c r="Y7" s="4">
        <f t="shared" si="13"/>
        <v>0</v>
      </c>
      <c r="Z7" s="4">
        <f t="shared" si="14"/>
        <v>0</v>
      </c>
      <c r="AA7" s="4">
        <f t="shared" si="15"/>
        <v>0</v>
      </c>
      <c r="AD7" s="5">
        <f t="shared" si="16"/>
        <v>0</v>
      </c>
    </row>
    <row r="8" spans="1:30" x14ac:dyDescent="0.3">
      <c r="A8" s="19"/>
      <c r="B8" s="12"/>
      <c r="C8" s="12"/>
      <c r="D8" s="12"/>
      <c r="E8" s="13"/>
      <c r="F8" s="14"/>
      <c r="G8" s="14"/>
      <c r="H8" s="14"/>
      <c r="I8" s="15"/>
      <c r="J8" s="16"/>
      <c r="K8" s="16"/>
      <c r="L8" s="17">
        <f t="shared" si="17"/>
        <v>0</v>
      </c>
      <c r="M8" s="18">
        <f t="shared" si="18"/>
        <v>0</v>
      </c>
      <c r="N8" s="3">
        <f t="shared" si="2"/>
        <v>0</v>
      </c>
      <c r="O8" s="3">
        <f t="shared" si="3"/>
        <v>0</v>
      </c>
      <c r="P8" s="3">
        <f t="shared" si="4"/>
        <v>0</v>
      </c>
      <c r="Q8" s="3">
        <f t="shared" si="5"/>
        <v>0</v>
      </c>
      <c r="R8" s="3">
        <f t="shared" si="6"/>
        <v>0</v>
      </c>
      <c r="S8" s="3">
        <f t="shared" si="7"/>
        <v>0</v>
      </c>
      <c r="T8" s="3">
        <f t="shared" si="8"/>
        <v>0</v>
      </c>
      <c r="U8" s="4">
        <f t="shared" si="9"/>
        <v>0</v>
      </c>
      <c r="V8" s="4">
        <f t="shared" si="10"/>
        <v>0</v>
      </c>
      <c r="W8" s="4">
        <f t="shared" si="11"/>
        <v>0</v>
      </c>
      <c r="X8" s="4">
        <f t="shared" si="12"/>
        <v>0</v>
      </c>
      <c r="Y8" s="4">
        <f t="shared" si="13"/>
        <v>0</v>
      </c>
      <c r="Z8" s="4">
        <f t="shared" si="14"/>
        <v>0</v>
      </c>
      <c r="AA8" s="4">
        <f t="shared" si="15"/>
        <v>0</v>
      </c>
      <c r="AD8" s="5">
        <f t="shared" si="16"/>
        <v>0</v>
      </c>
    </row>
    <row r="9" spans="1:30" x14ac:dyDescent="0.3">
      <c r="A9" s="11"/>
      <c r="B9" s="12"/>
      <c r="C9" s="12"/>
      <c r="D9" s="12"/>
      <c r="E9" s="13"/>
      <c r="F9" s="14"/>
      <c r="G9" s="14"/>
      <c r="H9" s="14"/>
      <c r="I9" s="15"/>
      <c r="J9" s="16"/>
      <c r="K9" s="16"/>
      <c r="L9" s="17">
        <f t="shared" si="17"/>
        <v>0</v>
      </c>
      <c r="M9" s="18">
        <f t="shared" si="18"/>
        <v>0</v>
      </c>
      <c r="N9" s="3">
        <f t="shared" si="2"/>
        <v>0</v>
      </c>
      <c r="O9" s="3">
        <f t="shared" si="3"/>
        <v>0</v>
      </c>
      <c r="P9" s="3">
        <f t="shared" si="4"/>
        <v>0</v>
      </c>
      <c r="Q9" s="3">
        <f t="shared" si="5"/>
        <v>0</v>
      </c>
      <c r="R9" s="3">
        <f t="shared" si="6"/>
        <v>0</v>
      </c>
      <c r="S9" s="3">
        <f t="shared" si="7"/>
        <v>0</v>
      </c>
      <c r="T9" s="3">
        <f t="shared" si="8"/>
        <v>0</v>
      </c>
      <c r="U9" s="4">
        <f t="shared" si="9"/>
        <v>0</v>
      </c>
      <c r="V9" s="4">
        <f t="shared" si="10"/>
        <v>0</v>
      </c>
      <c r="W9" s="4">
        <f t="shared" si="11"/>
        <v>0</v>
      </c>
      <c r="X9" s="4">
        <f t="shared" si="12"/>
        <v>0</v>
      </c>
      <c r="Y9" s="4">
        <f t="shared" si="13"/>
        <v>0</v>
      </c>
      <c r="Z9" s="4">
        <f t="shared" si="14"/>
        <v>0</v>
      </c>
      <c r="AA9" s="4">
        <f t="shared" si="15"/>
        <v>0</v>
      </c>
      <c r="AD9" s="5">
        <f t="shared" si="16"/>
        <v>0</v>
      </c>
    </row>
    <row r="10" spans="1:30" ht="13.8" customHeight="1" x14ac:dyDescent="0.3">
      <c r="A10" s="19"/>
      <c r="B10" s="12"/>
      <c r="C10" s="12"/>
      <c r="D10" s="12"/>
      <c r="E10" s="13"/>
      <c r="F10" s="14"/>
      <c r="G10" s="14"/>
      <c r="H10" s="14"/>
      <c r="I10" s="15"/>
      <c r="J10" s="16"/>
      <c r="K10" s="16"/>
      <c r="L10" s="17">
        <f t="shared" si="17"/>
        <v>0</v>
      </c>
      <c r="M10" s="18">
        <f t="shared" si="18"/>
        <v>0</v>
      </c>
      <c r="N10" s="3">
        <f t="shared" si="2"/>
        <v>0</v>
      </c>
      <c r="O10" s="3">
        <f t="shared" si="3"/>
        <v>0</v>
      </c>
      <c r="P10" s="3">
        <f t="shared" si="4"/>
        <v>0</v>
      </c>
      <c r="Q10" s="3">
        <f t="shared" si="5"/>
        <v>0</v>
      </c>
      <c r="R10" s="3">
        <f t="shared" si="6"/>
        <v>0</v>
      </c>
      <c r="S10" s="3">
        <f t="shared" si="7"/>
        <v>0</v>
      </c>
      <c r="T10" s="3">
        <f t="shared" si="8"/>
        <v>0</v>
      </c>
      <c r="U10" s="4">
        <f t="shared" si="9"/>
        <v>0</v>
      </c>
      <c r="V10" s="4">
        <f t="shared" si="10"/>
        <v>0</v>
      </c>
      <c r="W10" s="4">
        <f t="shared" si="11"/>
        <v>0</v>
      </c>
      <c r="X10" s="4">
        <f t="shared" si="12"/>
        <v>0</v>
      </c>
      <c r="Y10" s="4">
        <f t="shared" si="13"/>
        <v>0</v>
      </c>
      <c r="Z10" s="4">
        <f t="shared" si="14"/>
        <v>0</v>
      </c>
      <c r="AA10" s="4">
        <f t="shared" si="15"/>
        <v>0</v>
      </c>
      <c r="AD10" s="5">
        <f t="shared" si="16"/>
        <v>0</v>
      </c>
    </row>
    <row r="11" spans="1:30" x14ac:dyDescent="0.3">
      <c r="A11" s="11"/>
      <c r="B11" s="12"/>
      <c r="C11" s="12"/>
      <c r="D11" s="12"/>
      <c r="E11" s="13"/>
      <c r="F11" s="14"/>
      <c r="G11" s="14"/>
      <c r="H11" s="14"/>
      <c r="I11" s="15"/>
      <c r="J11" s="16"/>
      <c r="K11" s="16"/>
      <c r="L11" s="17">
        <f t="shared" si="17"/>
        <v>0</v>
      </c>
      <c r="M11" s="18">
        <f t="shared" si="18"/>
        <v>0</v>
      </c>
      <c r="N11" s="3">
        <f t="shared" si="2"/>
        <v>0</v>
      </c>
      <c r="O11" s="3">
        <f t="shared" si="3"/>
        <v>0</v>
      </c>
      <c r="P11" s="3">
        <f t="shared" si="4"/>
        <v>0</v>
      </c>
      <c r="Q11" s="3">
        <f t="shared" si="5"/>
        <v>0</v>
      </c>
      <c r="R11" s="3">
        <f t="shared" si="6"/>
        <v>0</v>
      </c>
      <c r="S11" s="3">
        <f t="shared" si="7"/>
        <v>0</v>
      </c>
      <c r="T11" s="3">
        <f t="shared" si="8"/>
        <v>0</v>
      </c>
      <c r="U11" s="4">
        <f t="shared" si="9"/>
        <v>0</v>
      </c>
      <c r="V11" s="4">
        <f t="shared" si="10"/>
        <v>0</v>
      </c>
      <c r="W11" s="4">
        <f t="shared" si="11"/>
        <v>0</v>
      </c>
      <c r="X11" s="4">
        <f t="shared" si="12"/>
        <v>0</v>
      </c>
      <c r="Y11" s="4">
        <f t="shared" si="13"/>
        <v>0</v>
      </c>
      <c r="Z11" s="4">
        <f t="shared" si="14"/>
        <v>0</v>
      </c>
      <c r="AA11" s="4">
        <f t="shared" si="15"/>
        <v>0</v>
      </c>
      <c r="AD11" s="5">
        <f t="shared" si="16"/>
        <v>0</v>
      </c>
    </row>
    <row r="12" spans="1:30" x14ac:dyDescent="0.3">
      <c r="A12" s="19"/>
      <c r="B12" s="12"/>
      <c r="C12" s="12"/>
      <c r="D12" s="12"/>
      <c r="E12" s="13"/>
      <c r="F12" s="14"/>
      <c r="G12" s="14"/>
      <c r="H12" s="14"/>
      <c r="I12" s="15"/>
      <c r="J12" s="16"/>
      <c r="K12" s="16"/>
      <c r="L12" s="17">
        <f t="shared" si="17"/>
        <v>0</v>
      </c>
      <c r="M12" s="18">
        <f t="shared" si="18"/>
        <v>0</v>
      </c>
      <c r="N12" s="3">
        <f t="shared" si="2"/>
        <v>0</v>
      </c>
      <c r="O12" s="3">
        <f t="shared" si="3"/>
        <v>0</v>
      </c>
      <c r="P12" s="3">
        <f t="shared" si="4"/>
        <v>0</v>
      </c>
      <c r="Q12" s="3">
        <f t="shared" si="5"/>
        <v>0</v>
      </c>
      <c r="R12" s="3">
        <f t="shared" si="6"/>
        <v>0</v>
      </c>
      <c r="S12" s="3">
        <f t="shared" si="7"/>
        <v>0</v>
      </c>
      <c r="T12" s="3">
        <f t="shared" si="8"/>
        <v>0</v>
      </c>
      <c r="U12" s="4">
        <f t="shared" si="9"/>
        <v>0</v>
      </c>
      <c r="V12" s="4">
        <f t="shared" si="10"/>
        <v>0</v>
      </c>
      <c r="W12" s="4">
        <f t="shared" si="11"/>
        <v>0</v>
      </c>
      <c r="X12" s="4">
        <f t="shared" si="12"/>
        <v>0</v>
      </c>
      <c r="Y12" s="4">
        <f t="shared" si="13"/>
        <v>0</v>
      </c>
      <c r="Z12" s="4">
        <f t="shared" si="14"/>
        <v>0</v>
      </c>
      <c r="AA12" s="4">
        <f t="shared" si="15"/>
        <v>0</v>
      </c>
      <c r="AD12" s="5">
        <f t="shared" si="16"/>
        <v>0</v>
      </c>
    </row>
    <row r="13" spans="1:30" x14ac:dyDescent="0.3">
      <c r="A13" s="11"/>
      <c r="B13" s="12"/>
      <c r="C13" s="12"/>
      <c r="D13" s="12"/>
      <c r="E13" s="13"/>
      <c r="F13" s="14"/>
      <c r="G13" s="14"/>
      <c r="H13" s="14"/>
      <c r="I13" s="15"/>
      <c r="J13" s="16"/>
      <c r="K13" s="16"/>
      <c r="L13" s="17">
        <f t="shared" si="17"/>
        <v>0</v>
      </c>
      <c r="M13" s="18">
        <f t="shared" si="18"/>
        <v>0</v>
      </c>
      <c r="N13" s="3">
        <f t="shared" si="2"/>
        <v>0</v>
      </c>
      <c r="O13" s="3">
        <f t="shared" si="3"/>
        <v>0</v>
      </c>
      <c r="P13" s="3">
        <f t="shared" si="4"/>
        <v>0</v>
      </c>
      <c r="Q13" s="3">
        <f t="shared" si="5"/>
        <v>0</v>
      </c>
      <c r="R13" s="3">
        <f t="shared" si="6"/>
        <v>0</v>
      </c>
      <c r="S13" s="3">
        <f t="shared" si="7"/>
        <v>0</v>
      </c>
      <c r="T13" s="3">
        <f t="shared" si="8"/>
        <v>0</v>
      </c>
      <c r="U13" s="4">
        <f t="shared" si="9"/>
        <v>0</v>
      </c>
      <c r="V13" s="4">
        <f t="shared" si="10"/>
        <v>0</v>
      </c>
      <c r="W13" s="4">
        <f t="shared" si="11"/>
        <v>0</v>
      </c>
      <c r="X13" s="4">
        <f t="shared" si="12"/>
        <v>0</v>
      </c>
      <c r="Y13" s="4">
        <f t="shared" si="13"/>
        <v>0</v>
      </c>
      <c r="Z13" s="4">
        <f t="shared" si="14"/>
        <v>0</v>
      </c>
      <c r="AA13" s="4">
        <f t="shared" si="15"/>
        <v>0</v>
      </c>
      <c r="AD13" s="5">
        <f t="shared" si="16"/>
        <v>0</v>
      </c>
    </row>
    <row r="14" spans="1:30" x14ac:dyDescent="0.3">
      <c r="A14" s="19"/>
      <c r="B14" s="12"/>
      <c r="C14" s="12"/>
      <c r="D14" s="12"/>
      <c r="E14" s="13"/>
      <c r="F14" s="14"/>
      <c r="G14" s="14"/>
      <c r="H14" s="14"/>
      <c r="I14" s="15"/>
      <c r="J14" s="16">
        <f t="shared" ref="J14:J73" si="19">(E14+I14)/2</f>
        <v>0</v>
      </c>
      <c r="K14" s="16">
        <f t="shared" ref="K14:K68" si="20">(E16+I12)/2</f>
        <v>0</v>
      </c>
      <c r="L14" s="17">
        <f t="shared" si="17"/>
        <v>0</v>
      </c>
      <c r="M14" s="18">
        <f t="shared" si="18"/>
        <v>0</v>
      </c>
      <c r="N14" s="3">
        <f t="shared" si="2"/>
        <v>0</v>
      </c>
      <c r="O14" s="3">
        <f t="shared" si="3"/>
        <v>0</v>
      </c>
      <c r="P14" s="3">
        <f t="shared" si="4"/>
        <v>0</v>
      </c>
      <c r="Q14" s="3">
        <f t="shared" si="5"/>
        <v>0</v>
      </c>
      <c r="R14" s="3">
        <f t="shared" si="6"/>
        <v>0</v>
      </c>
      <c r="S14" s="3">
        <f t="shared" si="7"/>
        <v>0</v>
      </c>
      <c r="T14" s="3">
        <f t="shared" si="8"/>
        <v>0</v>
      </c>
      <c r="U14" s="4">
        <f t="shared" si="9"/>
        <v>0</v>
      </c>
      <c r="V14" s="4">
        <f t="shared" si="10"/>
        <v>0</v>
      </c>
      <c r="W14" s="4">
        <f t="shared" si="11"/>
        <v>0</v>
      </c>
      <c r="X14" s="4">
        <f t="shared" si="12"/>
        <v>0</v>
      </c>
      <c r="Y14" s="4">
        <f t="shared" si="13"/>
        <v>0</v>
      </c>
      <c r="Z14" s="4">
        <f t="shared" si="14"/>
        <v>0</v>
      </c>
      <c r="AA14" s="4">
        <f t="shared" si="15"/>
        <v>0</v>
      </c>
      <c r="AD14" s="5">
        <f t="shared" si="16"/>
        <v>0</v>
      </c>
    </row>
    <row r="15" spans="1:30" x14ac:dyDescent="0.3">
      <c r="A15" s="11"/>
      <c r="B15" s="12"/>
      <c r="C15" s="12"/>
      <c r="D15" s="12"/>
      <c r="E15" s="13"/>
      <c r="F15" s="14"/>
      <c r="G15" s="14"/>
      <c r="H15" s="14"/>
      <c r="I15" s="15"/>
      <c r="J15" s="16">
        <f t="shared" si="19"/>
        <v>0</v>
      </c>
      <c r="K15" s="16">
        <f t="shared" si="20"/>
        <v>0</v>
      </c>
      <c r="L15" s="17">
        <f t="shared" si="17"/>
        <v>0</v>
      </c>
      <c r="M15" s="18">
        <f t="shared" si="18"/>
        <v>0</v>
      </c>
      <c r="N15" s="3">
        <f t="shared" si="2"/>
        <v>0</v>
      </c>
      <c r="O15" s="3">
        <f t="shared" si="3"/>
        <v>0</v>
      </c>
      <c r="P15" s="3">
        <f t="shared" si="4"/>
        <v>0</v>
      </c>
      <c r="Q15" s="3">
        <f t="shared" si="5"/>
        <v>0</v>
      </c>
      <c r="R15" s="3">
        <f t="shared" si="6"/>
        <v>0</v>
      </c>
      <c r="S15" s="3">
        <f t="shared" si="7"/>
        <v>0</v>
      </c>
      <c r="T15" s="3">
        <f t="shared" si="8"/>
        <v>0</v>
      </c>
      <c r="U15" s="4">
        <f t="shared" si="9"/>
        <v>0</v>
      </c>
      <c r="V15" s="4">
        <f t="shared" si="10"/>
        <v>0</v>
      </c>
      <c r="W15" s="4">
        <f t="shared" si="11"/>
        <v>0</v>
      </c>
      <c r="X15" s="4">
        <f t="shared" si="12"/>
        <v>0</v>
      </c>
      <c r="Y15" s="4">
        <f t="shared" si="13"/>
        <v>0</v>
      </c>
      <c r="Z15" s="4">
        <f t="shared" si="14"/>
        <v>0</v>
      </c>
      <c r="AA15" s="4">
        <f t="shared" si="15"/>
        <v>0</v>
      </c>
      <c r="AD15" s="5">
        <f t="shared" si="16"/>
        <v>0</v>
      </c>
    </row>
    <row r="16" spans="1:30" x14ac:dyDescent="0.3">
      <c r="A16" s="19"/>
      <c r="B16" s="12"/>
      <c r="C16" s="12"/>
      <c r="D16" s="12"/>
      <c r="E16" s="13"/>
      <c r="F16" s="14"/>
      <c r="G16" s="14"/>
      <c r="H16" s="14"/>
      <c r="I16" s="15"/>
      <c r="J16" s="16">
        <f t="shared" si="19"/>
        <v>0</v>
      </c>
      <c r="K16" s="16">
        <f t="shared" si="20"/>
        <v>0</v>
      </c>
      <c r="L16" s="17">
        <f t="shared" si="17"/>
        <v>0</v>
      </c>
      <c r="M16" s="18">
        <f t="shared" si="18"/>
        <v>0</v>
      </c>
      <c r="N16" s="3">
        <f t="shared" si="2"/>
        <v>0</v>
      </c>
      <c r="O16" s="3">
        <f t="shared" si="3"/>
        <v>0</v>
      </c>
      <c r="P16" s="3">
        <f t="shared" si="4"/>
        <v>0</v>
      </c>
      <c r="Q16" s="3">
        <f t="shared" si="5"/>
        <v>0</v>
      </c>
      <c r="R16" s="3">
        <f t="shared" si="6"/>
        <v>0</v>
      </c>
      <c r="S16" s="3">
        <f t="shared" si="7"/>
        <v>0</v>
      </c>
      <c r="T16" s="3">
        <f t="shared" si="8"/>
        <v>0</v>
      </c>
      <c r="U16" s="4">
        <f t="shared" si="9"/>
        <v>0</v>
      </c>
      <c r="V16" s="4">
        <f t="shared" si="10"/>
        <v>0</v>
      </c>
      <c r="W16" s="4">
        <f t="shared" si="11"/>
        <v>0</v>
      </c>
      <c r="X16" s="4">
        <f t="shared" si="12"/>
        <v>0</v>
      </c>
      <c r="Y16" s="4">
        <f t="shared" si="13"/>
        <v>0</v>
      </c>
      <c r="Z16" s="4">
        <f t="shared" si="14"/>
        <v>0</v>
      </c>
      <c r="AA16" s="4">
        <f t="shared" si="15"/>
        <v>0</v>
      </c>
      <c r="AD16" s="5">
        <f t="shared" si="16"/>
        <v>0</v>
      </c>
    </row>
    <row r="17" spans="1:30" x14ac:dyDescent="0.3">
      <c r="A17" s="11"/>
      <c r="B17" s="12"/>
      <c r="C17" s="12"/>
      <c r="D17" s="12"/>
      <c r="E17" s="13"/>
      <c r="F17" s="14"/>
      <c r="G17" s="14"/>
      <c r="H17" s="14"/>
      <c r="I17" s="15"/>
      <c r="J17" s="16">
        <f t="shared" si="19"/>
        <v>0</v>
      </c>
      <c r="K17" s="16">
        <f t="shared" si="20"/>
        <v>0</v>
      </c>
      <c r="L17" s="17">
        <f t="shared" si="17"/>
        <v>0</v>
      </c>
      <c r="M17" s="18">
        <f t="shared" si="18"/>
        <v>0</v>
      </c>
      <c r="N17" s="3">
        <f t="shared" si="2"/>
        <v>0</v>
      </c>
      <c r="O17" s="3">
        <f t="shared" si="3"/>
        <v>0</v>
      </c>
      <c r="P17" s="3">
        <f t="shared" si="4"/>
        <v>0</v>
      </c>
      <c r="Q17" s="3">
        <f t="shared" si="5"/>
        <v>0</v>
      </c>
      <c r="R17" s="3">
        <f t="shared" si="6"/>
        <v>0</v>
      </c>
      <c r="S17" s="3">
        <f t="shared" si="7"/>
        <v>0</v>
      </c>
      <c r="T17" s="3">
        <f t="shared" si="8"/>
        <v>0</v>
      </c>
      <c r="U17" s="4">
        <f t="shared" si="9"/>
        <v>0</v>
      </c>
      <c r="V17" s="4">
        <f t="shared" si="10"/>
        <v>0</v>
      </c>
      <c r="W17" s="4">
        <f t="shared" si="11"/>
        <v>0</v>
      </c>
      <c r="X17" s="4">
        <f t="shared" si="12"/>
        <v>0</v>
      </c>
      <c r="Y17" s="4">
        <f t="shared" si="13"/>
        <v>0</v>
      </c>
      <c r="Z17" s="4">
        <f t="shared" si="14"/>
        <v>0</v>
      </c>
      <c r="AA17" s="4">
        <f t="shared" si="15"/>
        <v>0</v>
      </c>
      <c r="AD17" s="5">
        <f t="shared" si="16"/>
        <v>0</v>
      </c>
    </row>
    <row r="18" spans="1:30" x14ac:dyDescent="0.3">
      <c r="A18" s="19"/>
      <c r="B18" s="12"/>
      <c r="C18" s="12"/>
      <c r="D18" s="12"/>
      <c r="E18" s="13"/>
      <c r="F18" s="14"/>
      <c r="G18" s="14"/>
      <c r="H18" s="14"/>
      <c r="I18" s="15"/>
      <c r="J18" s="16">
        <f t="shared" si="19"/>
        <v>0</v>
      </c>
      <c r="K18" s="16">
        <f t="shared" si="20"/>
        <v>0</v>
      </c>
      <c r="L18" s="17">
        <f t="shared" si="17"/>
        <v>0</v>
      </c>
      <c r="M18" s="18">
        <f t="shared" si="18"/>
        <v>0</v>
      </c>
      <c r="N18" s="3">
        <f t="shared" si="2"/>
        <v>0</v>
      </c>
      <c r="O18" s="3">
        <f t="shared" si="3"/>
        <v>0</v>
      </c>
      <c r="P18" s="3">
        <f t="shared" si="4"/>
        <v>0</v>
      </c>
      <c r="Q18" s="3">
        <f t="shared" si="5"/>
        <v>0</v>
      </c>
      <c r="R18" s="3">
        <f t="shared" si="6"/>
        <v>0</v>
      </c>
      <c r="S18" s="3">
        <f t="shared" si="7"/>
        <v>0</v>
      </c>
      <c r="T18" s="3">
        <f t="shared" si="8"/>
        <v>0</v>
      </c>
      <c r="U18" s="4">
        <f t="shared" si="9"/>
        <v>0</v>
      </c>
      <c r="V18" s="4">
        <f t="shared" si="10"/>
        <v>0</v>
      </c>
      <c r="W18" s="4">
        <f t="shared" si="11"/>
        <v>0</v>
      </c>
      <c r="X18" s="4">
        <f t="shared" si="12"/>
        <v>0</v>
      </c>
      <c r="Y18" s="4">
        <f t="shared" si="13"/>
        <v>0</v>
      </c>
      <c r="Z18" s="4">
        <f t="shared" si="14"/>
        <v>0</v>
      </c>
      <c r="AA18" s="4">
        <f t="shared" si="15"/>
        <v>0</v>
      </c>
      <c r="AD18" s="5">
        <f t="shared" si="16"/>
        <v>0</v>
      </c>
    </row>
    <row r="19" spans="1:30" x14ac:dyDescent="0.3">
      <c r="A19" s="11"/>
      <c r="B19" s="12"/>
      <c r="C19" s="12"/>
      <c r="D19" s="12"/>
      <c r="E19" s="13"/>
      <c r="F19" s="14"/>
      <c r="G19" s="14"/>
      <c r="H19" s="14"/>
      <c r="I19" s="15"/>
      <c r="J19" s="16">
        <f t="shared" si="19"/>
        <v>0</v>
      </c>
      <c r="K19" s="16">
        <f t="shared" si="20"/>
        <v>0</v>
      </c>
      <c r="L19" s="17">
        <f t="shared" si="17"/>
        <v>0</v>
      </c>
      <c r="M19" s="18">
        <f t="shared" si="18"/>
        <v>0</v>
      </c>
      <c r="N19" s="3">
        <f t="shared" si="2"/>
        <v>0</v>
      </c>
      <c r="O19" s="3">
        <f t="shared" si="3"/>
        <v>0</v>
      </c>
      <c r="P19" s="3">
        <f t="shared" si="4"/>
        <v>0</v>
      </c>
      <c r="Q19" s="3">
        <f t="shared" si="5"/>
        <v>0</v>
      </c>
      <c r="R19" s="3">
        <f t="shared" si="6"/>
        <v>0</v>
      </c>
      <c r="S19" s="3">
        <f t="shared" si="7"/>
        <v>0</v>
      </c>
      <c r="T19" s="3">
        <f t="shared" si="8"/>
        <v>0</v>
      </c>
      <c r="U19" s="4">
        <f t="shared" si="9"/>
        <v>0</v>
      </c>
      <c r="V19" s="4">
        <f t="shared" si="10"/>
        <v>0</v>
      </c>
      <c r="W19" s="4">
        <f t="shared" si="11"/>
        <v>0</v>
      </c>
      <c r="X19" s="4">
        <f t="shared" si="12"/>
        <v>0</v>
      </c>
      <c r="Y19" s="4">
        <f t="shared" si="13"/>
        <v>0</v>
      </c>
      <c r="Z19" s="4">
        <f t="shared" si="14"/>
        <v>0</v>
      </c>
      <c r="AA19" s="4">
        <f t="shared" si="15"/>
        <v>0</v>
      </c>
      <c r="AD19" s="5">
        <f t="shared" si="16"/>
        <v>0</v>
      </c>
    </row>
    <row r="20" spans="1:30" x14ac:dyDescent="0.3">
      <c r="A20" s="19"/>
      <c r="B20" s="12"/>
      <c r="C20" s="12"/>
      <c r="D20" s="12"/>
      <c r="E20" s="13"/>
      <c r="F20" s="14"/>
      <c r="G20" s="14"/>
      <c r="H20" s="14"/>
      <c r="I20" s="15"/>
      <c r="J20" s="16">
        <f t="shared" si="19"/>
        <v>0</v>
      </c>
      <c r="K20" s="16">
        <f t="shared" si="20"/>
        <v>0</v>
      </c>
      <c r="L20" s="17">
        <f t="shared" si="17"/>
        <v>0</v>
      </c>
      <c r="M20" s="18">
        <f t="shared" si="18"/>
        <v>0</v>
      </c>
      <c r="N20" s="3">
        <f t="shared" si="2"/>
        <v>0</v>
      </c>
      <c r="O20" s="3">
        <f t="shared" si="3"/>
        <v>0</v>
      </c>
      <c r="P20" s="3">
        <f t="shared" si="4"/>
        <v>0</v>
      </c>
      <c r="Q20" s="3">
        <f t="shared" si="5"/>
        <v>0</v>
      </c>
      <c r="R20" s="3">
        <f t="shared" si="6"/>
        <v>0</v>
      </c>
      <c r="S20" s="3">
        <f t="shared" si="7"/>
        <v>0</v>
      </c>
      <c r="T20" s="3">
        <f t="shared" si="8"/>
        <v>0</v>
      </c>
      <c r="U20" s="4">
        <f t="shared" si="9"/>
        <v>0</v>
      </c>
      <c r="V20" s="4">
        <f t="shared" si="10"/>
        <v>0</v>
      </c>
      <c r="W20" s="4">
        <f t="shared" si="11"/>
        <v>0</v>
      </c>
      <c r="X20" s="4">
        <f t="shared" si="12"/>
        <v>0</v>
      </c>
      <c r="Y20" s="4">
        <f t="shared" si="13"/>
        <v>0</v>
      </c>
      <c r="Z20" s="4">
        <f t="shared" si="14"/>
        <v>0</v>
      </c>
      <c r="AA20" s="4">
        <f t="shared" si="15"/>
        <v>0</v>
      </c>
      <c r="AD20" s="5">
        <f t="shared" si="16"/>
        <v>0</v>
      </c>
    </row>
    <row r="21" spans="1:30" x14ac:dyDescent="0.3">
      <c r="A21" s="11"/>
      <c r="B21" s="12"/>
      <c r="C21" s="12"/>
      <c r="D21" s="12"/>
      <c r="E21" s="13"/>
      <c r="F21" s="14"/>
      <c r="G21" s="14"/>
      <c r="H21" s="14"/>
      <c r="I21" s="15"/>
      <c r="J21" s="16">
        <f t="shared" si="19"/>
        <v>0</v>
      </c>
      <c r="K21" s="16">
        <f t="shared" si="20"/>
        <v>0</v>
      </c>
      <c r="L21" s="17">
        <f t="shared" si="17"/>
        <v>0</v>
      </c>
      <c r="M21" s="18">
        <f t="shared" si="18"/>
        <v>0</v>
      </c>
      <c r="N21" s="3">
        <f t="shared" si="2"/>
        <v>0</v>
      </c>
      <c r="O21" s="3">
        <f t="shared" si="3"/>
        <v>0</v>
      </c>
      <c r="P21" s="3">
        <f t="shared" si="4"/>
        <v>0</v>
      </c>
      <c r="Q21" s="3">
        <f t="shared" si="5"/>
        <v>0</v>
      </c>
      <c r="R21" s="3">
        <f t="shared" si="6"/>
        <v>0</v>
      </c>
      <c r="S21" s="3">
        <f t="shared" si="7"/>
        <v>0</v>
      </c>
      <c r="T21" s="3">
        <f t="shared" si="8"/>
        <v>0</v>
      </c>
      <c r="U21" s="4">
        <f t="shared" si="9"/>
        <v>0</v>
      </c>
      <c r="V21" s="4">
        <f t="shared" si="10"/>
        <v>0</v>
      </c>
      <c r="W21" s="4">
        <f t="shared" si="11"/>
        <v>0</v>
      </c>
      <c r="X21" s="4">
        <f t="shared" si="12"/>
        <v>0</v>
      </c>
      <c r="Y21" s="4">
        <f t="shared" si="13"/>
        <v>0</v>
      </c>
      <c r="Z21" s="4">
        <f t="shared" si="14"/>
        <v>0</v>
      </c>
      <c r="AA21" s="4">
        <f t="shared" si="15"/>
        <v>0</v>
      </c>
      <c r="AD21" s="5">
        <f t="shared" si="16"/>
        <v>0</v>
      </c>
    </row>
    <row r="22" spans="1:30" x14ac:dyDescent="0.3">
      <c r="A22" s="19"/>
      <c r="B22" s="12"/>
      <c r="C22" s="12"/>
      <c r="D22" s="12"/>
      <c r="E22" s="13"/>
      <c r="F22" s="14"/>
      <c r="G22" s="14"/>
      <c r="H22" s="14"/>
      <c r="I22" s="15"/>
      <c r="J22" s="16">
        <f t="shared" si="19"/>
        <v>0</v>
      </c>
      <c r="K22" s="16">
        <f t="shared" si="20"/>
        <v>0</v>
      </c>
      <c r="L22" s="17">
        <f t="shared" si="17"/>
        <v>0</v>
      </c>
      <c r="M22" s="18">
        <f t="shared" si="18"/>
        <v>0</v>
      </c>
      <c r="N22" s="3">
        <f t="shared" si="2"/>
        <v>0</v>
      </c>
      <c r="O22" s="3">
        <f t="shared" si="3"/>
        <v>0</v>
      </c>
      <c r="P22" s="3">
        <f t="shared" si="4"/>
        <v>0</v>
      </c>
      <c r="Q22" s="3">
        <f t="shared" si="5"/>
        <v>0</v>
      </c>
      <c r="R22" s="3">
        <f t="shared" si="6"/>
        <v>0</v>
      </c>
      <c r="S22" s="3">
        <f t="shared" si="7"/>
        <v>0</v>
      </c>
      <c r="T22" s="3">
        <f t="shared" si="8"/>
        <v>0</v>
      </c>
      <c r="U22" s="4">
        <f t="shared" si="9"/>
        <v>0</v>
      </c>
      <c r="V22" s="4">
        <f t="shared" si="10"/>
        <v>0</v>
      </c>
      <c r="W22" s="4">
        <f t="shared" si="11"/>
        <v>0</v>
      </c>
      <c r="X22" s="4">
        <f t="shared" si="12"/>
        <v>0</v>
      </c>
      <c r="Y22" s="4">
        <f t="shared" si="13"/>
        <v>0</v>
      </c>
      <c r="Z22" s="4">
        <f t="shared" si="14"/>
        <v>0</v>
      </c>
      <c r="AA22" s="4">
        <f t="shared" si="15"/>
        <v>0</v>
      </c>
      <c r="AD22" s="5">
        <f t="shared" si="16"/>
        <v>0</v>
      </c>
    </row>
    <row r="23" spans="1:30" x14ac:dyDescent="0.3">
      <c r="A23" s="11"/>
      <c r="B23" s="12"/>
      <c r="C23" s="12"/>
      <c r="D23" s="12"/>
      <c r="E23" s="13"/>
      <c r="F23" s="14"/>
      <c r="G23" s="14"/>
      <c r="H23" s="14"/>
      <c r="I23" s="15"/>
      <c r="J23" s="16">
        <f t="shared" si="19"/>
        <v>0</v>
      </c>
      <c r="K23" s="16">
        <f t="shared" si="20"/>
        <v>0</v>
      </c>
      <c r="L23" s="17">
        <f t="shared" si="17"/>
        <v>0</v>
      </c>
      <c r="M23" s="18">
        <f t="shared" si="18"/>
        <v>0</v>
      </c>
      <c r="N23" s="3">
        <f t="shared" si="2"/>
        <v>0</v>
      </c>
      <c r="O23" s="3">
        <f t="shared" si="3"/>
        <v>0</v>
      </c>
      <c r="P23" s="3">
        <f t="shared" si="4"/>
        <v>0</v>
      </c>
      <c r="Q23" s="3">
        <f t="shared" si="5"/>
        <v>0</v>
      </c>
      <c r="R23" s="3">
        <f t="shared" si="6"/>
        <v>0</v>
      </c>
      <c r="S23" s="3">
        <f t="shared" si="7"/>
        <v>0</v>
      </c>
      <c r="T23" s="3">
        <f t="shared" si="8"/>
        <v>0</v>
      </c>
      <c r="U23" s="4">
        <f t="shared" si="9"/>
        <v>0</v>
      </c>
      <c r="V23" s="4">
        <f t="shared" si="10"/>
        <v>0</v>
      </c>
      <c r="W23" s="4">
        <f t="shared" si="11"/>
        <v>0</v>
      </c>
      <c r="X23" s="4">
        <f t="shared" si="12"/>
        <v>0</v>
      </c>
      <c r="Y23" s="4">
        <f t="shared" si="13"/>
        <v>0</v>
      </c>
      <c r="Z23" s="4">
        <f t="shared" si="14"/>
        <v>0</v>
      </c>
      <c r="AA23" s="4">
        <f t="shared" si="15"/>
        <v>0</v>
      </c>
      <c r="AD23" s="5">
        <f t="shared" si="16"/>
        <v>0</v>
      </c>
    </row>
    <row r="24" spans="1:30" x14ac:dyDescent="0.3">
      <c r="A24" s="19"/>
      <c r="B24" s="12"/>
      <c r="C24" s="12"/>
      <c r="D24" s="12"/>
      <c r="E24" s="13"/>
      <c r="F24" s="14"/>
      <c r="G24" s="14"/>
      <c r="H24" s="14"/>
      <c r="I24" s="15"/>
      <c r="J24" s="16">
        <f t="shared" si="19"/>
        <v>0</v>
      </c>
      <c r="K24" s="16">
        <f t="shared" si="20"/>
        <v>0</v>
      </c>
      <c r="L24" s="17">
        <f t="shared" si="17"/>
        <v>0</v>
      </c>
      <c r="M24" s="18">
        <f t="shared" si="18"/>
        <v>0</v>
      </c>
      <c r="N24" s="3">
        <f t="shared" si="2"/>
        <v>0</v>
      </c>
      <c r="O24" s="3">
        <f t="shared" si="3"/>
        <v>0</v>
      </c>
      <c r="P24" s="3">
        <f t="shared" si="4"/>
        <v>0</v>
      </c>
      <c r="Q24" s="3">
        <f t="shared" si="5"/>
        <v>0</v>
      </c>
      <c r="R24" s="3">
        <f t="shared" si="6"/>
        <v>0</v>
      </c>
      <c r="S24" s="3">
        <f t="shared" si="7"/>
        <v>0</v>
      </c>
      <c r="T24" s="3">
        <f t="shared" si="8"/>
        <v>0</v>
      </c>
      <c r="U24" s="4">
        <f t="shared" si="9"/>
        <v>0</v>
      </c>
      <c r="V24" s="4">
        <f t="shared" si="10"/>
        <v>0</v>
      </c>
      <c r="W24" s="4">
        <f t="shared" si="11"/>
        <v>0</v>
      </c>
      <c r="X24" s="4">
        <f t="shared" si="12"/>
        <v>0</v>
      </c>
      <c r="Y24" s="4">
        <f t="shared" si="13"/>
        <v>0</v>
      </c>
      <c r="Z24" s="4">
        <f t="shared" si="14"/>
        <v>0</v>
      </c>
      <c r="AA24" s="4">
        <f t="shared" si="15"/>
        <v>0</v>
      </c>
      <c r="AD24" s="5">
        <f t="shared" si="16"/>
        <v>0</v>
      </c>
    </row>
    <row r="25" spans="1:30" x14ac:dyDescent="0.3">
      <c r="A25" s="11"/>
      <c r="B25" s="12"/>
      <c r="C25" s="12"/>
      <c r="D25" s="12"/>
      <c r="E25" s="13"/>
      <c r="F25" s="14"/>
      <c r="G25" s="14"/>
      <c r="H25" s="14"/>
      <c r="I25" s="15"/>
      <c r="J25" s="16">
        <f t="shared" si="19"/>
        <v>0</v>
      </c>
      <c r="K25" s="16">
        <f t="shared" si="20"/>
        <v>0</v>
      </c>
      <c r="L25" s="17">
        <f t="shared" si="17"/>
        <v>0</v>
      </c>
      <c r="M25" s="18">
        <f t="shared" si="18"/>
        <v>0</v>
      </c>
      <c r="N25" s="3">
        <f t="shared" si="2"/>
        <v>0</v>
      </c>
      <c r="O25" s="3">
        <f t="shared" si="3"/>
        <v>0</v>
      </c>
      <c r="P25" s="3">
        <f t="shared" si="4"/>
        <v>0</v>
      </c>
      <c r="Q25" s="3">
        <f t="shared" si="5"/>
        <v>0</v>
      </c>
      <c r="R25" s="3">
        <f t="shared" si="6"/>
        <v>0</v>
      </c>
      <c r="S25" s="3">
        <f t="shared" si="7"/>
        <v>0</v>
      </c>
      <c r="T25" s="3">
        <f t="shared" si="8"/>
        <v>0</v>
      </c>
      <c r="U25" s="4">
        <f t="shared" si="9"/>
        <v>0</v>
      </c>
      <c r="V25" s="4">
        <f t="shared" si="10"/>
        <v>0</v>
      </c>
      <c r="W25" s="4">
        <f t="shared" si="11"/>
        <v>0</v>
      </c>
      <c r="X25" s="4">
        <f t="shared" si="12"/>
        <v>0</v>
      </c>
      <c r="Y25" s="4">
        <f t="shared" si="13"/>
        <v>0</v>
      </c>
      <c r="Z25" s="4">
        <f t="shared" si="14"/>
        <v>0</v>
      </c>
      <c r="AA25" s="4">
        <f t="shared" si="15"/>
        <v>0</v>
      </c>
      <c r="AD25" s="5">
        <f t="shared" si="16"/>
        <v>0</v>
      </c>
    </row>
    <row r="26" spans="1:30" x14ac:dyDescent="0.3">
      <c r="A26" s="19"/>
      <c r="B26" s="12"/>
      <c r="C26" s="12"/>
      <c r="D26" s="12"/>
      <c r="E26" s="13"/>
      <c r="F26" s="14"/>
      <c r="G26" s="14"/>
      <c r="H26" s="14"/>
      <c r="I26" s="15"/>
      <c r="J26" s="16">
        <f t="shared" si="19"/>
        <v>0</v>
      </c>
      <c r="K26" s="16">
        <f t="shared" si="20"/>
        <v>0</v>
      </c>
      <c r="L26" s="17">
        <f t="shared" si="17"/>
        <v>0</v>
      </c>
      <c r="M26" s="18">
        <f t="shared" si="18"/>
        <v>0</v>
      </c>
      <c r="N26" s="3">
        <f t="shared" si="2"/>
        <v>0</v>
      </c>
      <c r="O26" s="3">
        <f t="shared" si="3"/>
        <v>0</v>
      </c>
      <c r="P26" s="3">
        <f t="shared" si="4"/>
        <v>0</v>
      </c>
      <c r="Q26" s="3">
        <f t="shared" si="5"/>
        <v>0</v>
      </c>
      <c r="R26" s="3">
        <f t="shared" si="6"/>
        <v>0</v>
      </c>
      <c r="S26" s="3">
        <f t="shared" si="7"/>
        <v>0</v>
      </c>
      <c r="T26" s="3">
        <f t="shared" si="8"/>
        <v>0</v>
      </c>
      <c r="U26" s="4">
        <f t="shared" si="9"/>
        <v>0</v>
      </c>
      <c r="V26" s="4">
        <f t="shared" si="10"/>
        <v>0</v>
      </c>
      <c r="W26" s="4">
        <f t="shared" si="11"/>
        <v>0</v>
      </c>
      <c r="X26" s="4">
        <f t="shared" si="12"/>
        <v>0</v>
      </c>
      <c r="Y26" s="4">
        <f t="shared" si="13"/>
        <v>0</v>
      </c>
      <c r="Z26" s="4">
        <f t="shared" si="14"/>
        <v>0</v>
      </c>
      <c r="AA26" s="4">
        <f t="shared" si="15"/>
        <v>0</v>
      </c>
      <c r="AD26" s="5">
        <f t="shared" si="16"/>
        <v>0</v>
      </c>
    </row>
    <row r="27" spans="1:30" x14ac:dyDescent="0.3">
      <c r="A27" s="11"/>
      <c r="B27" s="12"/>
      <c r="C27" s="12"/>
      <c r="D27" s="12"/>
      <c r="E27" s="13"/>
      <c r="F27" s="14"/>
      <c r="G27" s="14"/>
      <c r="H27" s="14"/>
      <c r="I27" s="15"/>
      <c r="J27" s="16">
        <f t="shared" si="19"/>
        <v>0</v>
      </c>
      <c r="K27" s="16">
        <f t="shared" si="20"/>
        <v>0</v>
      </c>
      <c r="L27" s="17">
        <f t="shared" si="17"/>
        <v>0</v>
      </c>
      <c r="M27" s="18">
        <f t="shared" si="18"/>
        <v>0</v>
      </c>
      <c r="N27" s="3">
        <f t="shared" si="2"/>
        <v>0</v>
      </c>
      <c r="O27" s="3">
        <f t="shared" si="3"/>
        <v>0</v>
      </c>
      <c r="P27" s="3">
        <f t="shared" si="4"/>
        <v>0</v>
      </c>
      <c r="Q27" s="3">
        <f t="shared" si="5"/>
        <v>0</v>
      </c>
      <c r="R27" s="3">
        <f t="shared" si="6"/>
        <v>0</v>
      </c>
      <c r="S27" s="3">
        <f t="shared" si="7"/>
        <v>0</v>
      </c>
      <c r="T27" s="3">
        <f t="shared" si="8"/>
        <v>0</v>
      </c>
      <c r="U27" s="4">
        <f t="shared" si="9"/>
        <v>0</v>
      </c>
      <c r="V27" s="4">
        <f t="shared" si="10"/>
        <v>0</v>
      </c>
      <c r="W27" s="4">
        <f t="shared" si="11"/>
        <v>0</v>
      </c>
      <c r="X27" s="4">
        <f t="shared" si="12"/>
        <v>0</v>
      </c>
      <c r="Y27" s="4">
        <f t="shared" si="13"/>
        <v>0</v>
      </c>
      <c r="Z27" s="4">
        <f t="shared" si="14"/>
        <v>0</v>
      </c>
      <c r="AA27" s="4">
        <f t="shared" si="15"/>
        <v>0</v>
      </c>
      <c r="AD27" s="5">
        <f t="shared" si="16"/>
        <v>0</v>
      </c>
    </row>
    <row r="28" spans="1:30" x14ac:dyDescent="0.3">
      <c r="A28" s="19"/>
      <c r="B28" s="12"/>
      <c r="C28" s="12"/>
      <c r="D28" s="12"/>
      <c r="E28" s="13"/>
      <c r="F28" s="14"/>
      <c r="G28" s="14"/>
      <c r="H28" s="14"/>
      <c r="I28" s="15"/>
      <c r="J28" s="16">
        <f t="shared" si="19"/>
        <v>0</v>
      </c>
      <c r="K28" s="16">
        <f t="shared" si="20"/>
        <v>0</v>
      </c>
      <c r="L28" s="17">
        <f t="shared" si="17"/>
        <v>0</v>
      </c>
      <c r="M28" s="18">
        <f t="shared" si="18"/>
        <v>0</v>
      </c>
      <c r="N28" s="3">
        <f t="shared" si="2"/>
        <v>0</v>
      </c>
      <c r="O28" s="3">
        <f t="shared" si="3"/>
        <v>0</v>
      </c>
      <c r="P28" s="3">
        <f t="shared" si="4"/>
        <v>0</v>
      </c>
      <c r="Q28" s="3">
        <f t="shared" si="5"/>
        <v>0</v>
      </c>
      <c r="R28" s="3">
        <f t="shared" si="6"/>
        <v>0</v>
      </c>
      <c r="S28" s="3">
        <f t="shared" si="7"/>
        <v>0</v>
      </c>
      <c r="T28" s="3">
        <f t="shared" si="8"/>
        <v>0</v>
      </c>
      <c r="U28" s="4">
        <f t="shared" si="9"/>
        <v>0</v>
      </c>
      <c r="V28" s="4">
        <f t="shared" si="10"/>
        <v>0</v>
      </c>
      <c r="W28" s="4">
        <f t="shared" si="11"/>
        <v>0</v>
      </c>
      <c r="X28" s="4">
        <f t="shared" si="12"/>
        <v>0</v>
      </c>
      <c r="Y28" s="4">
        <f t="shared" si="13"/>
        <v>0</v>
      </c>
      <c r="Z28" s="4">
        <f t="shared" si="14"/>
        <v>0</v>
      </c>
      <c r="AA28" s="4">
        <f t="shared" si="15"/>
        <v>0</v>
      </c>
      <c r="AD28" s="5">
        <f t="shared" si="16"/>
        <v>0</v>
      </c>
    </row>
    <row r="29" spans="1:30" x14ac:dyDescent="0.3">
      <c r="A29" s="11"/>
      <c r="B29" s="12"/>
      <c r="C29" s="12"/>
      <c r="D29" s="12"/>
      <c r="E29" s="13"/>
      <c r="F29" s="14"/>
      <c r="G29" s="14"/>
      <c r="H29" s="14"/>
      <c r="I29" s="15"/>
      <c r="J29" s="16">
        <f t="shared" si="19"/>
        <v>0</v>
      </c>
      <c r="K29" s="16">
        <f t="shared" si="20"/>
        <v>0</v>
      </c>
      <c r="L29" s="17">
        <f t="shared" si="17"/>
        <v>0</v>
      </c>
      <c r="M29" s="18">
        <f t="shared" si="18"/>
        <v>0</v>
      </c>
      <c r="N29" s="3">
        <f t="shared" si="2"/>
        <v>0</v>
      </c>
      <c r="O29" s="3">
        <f t="shared" si="3"/>
        <v>0</v>
      </c>
      <c r="P29" s="3">
        <f t="shared" si="4"/>
        <v>0</v>
      </c>
      <c r="Q29" s="3">
        <f t="shared" si="5"/>
        <v>0</v>
      </c>
      <c r="R29" s="3">
        <f t="shared" si="6"/>
        <v>0</v>
      </c>
      <c r="S29" s="3">
        <f t="shared" si="7"/>
        <v>0</v>
      </c>
      <c r="T29" s="3">
        <f t="shared" si="8"/>
        <v>0</v>
      </c>
      <c r="U29" s="4">
        <f t="shared" si="9"/>
        <v>0</v>
      </c>
      <c r="V29" s="4">
        <f t="shared" si="10"/>
        <v>0</v>
      </c>
      <c r="W29" s="4">
        <f t="shared" si="11"/>
        <v>0</v>
      </c>
      <c r="X29" s="4">
        <f t="shared" si="12"/>
        <v>0</v>
      </c>
      <c r="Y29" s="4">
        <f t="shared" si="13"/>
        <v>0</v>
      </c>
      <c r="Z29" s="4">
        <f t="shared" si="14"/>
        <v>0</v>
      </c>
      <c r="AA29" s="4">
        <f t="shared" si="15"/>
        <v>0</v>
      </c>
      <c r="AB29" s="5">
        <f t="shared" ref="AB23:AB49" si="21">P29-O29</f>
        <v>0</v>
      </c>
      <c r="AC29" s="5">
        <f t="shared" ref="AC23:AC49" si="22">W29-V29</f>
        <v>0</v>
      </c>
      <c r="AD29" s="5">
        <f t="shared" si="16"/>
        <v>0</v>
      </c>
    </row>
    <row r="30" spans="1:30" x14ac:dyDescent="0.3">
      <c r="A30" s="19"/>
      <c r="B30" s="12"/>
      <c r="C30" s="12"/>
      <c r="D30" s="12"/>
      <c r="E30" s="13"/>
      <c r="F30" s="14"/>
      <c r="G30" s="14"/>
      <c r="H30" s="14"/>
      <c r="I30" s="15"/>
      <c r="J30" s="16">
        <f t="shared" si="19"/>
        <v>0</v>
      </c>
      <c r="K30" s="16">
        <f t="shared" si="20"/>
        <v>0</v>
      </c>
      <c r="L30" s="17">
        <f t="shared" si="17"/>
        <v>0</v>
      </c>
      <c r="M30" s="18">
        <f t="shared" si="18"/>
        <v>0</v>
      </c>
      <c r="N30" s="3">
        <f t="shared" si="2"/>
        <v>0</v>
      </c>
      <c r="O30" s="3">
        <f t="shared" si="3"/>
        <v>0</v>
      </c>
      <c r="P30" s="3">
        <f t="shared" si="4"/>
        <v>0</v>
      </c>
      <c r="Q30" s="3">
        <f t="shared" si="5"/>
        <v>0</v>
      </c>
      <c r="R30" s="3">
        <f t="shared" si="6"/>
        <v>0</v>
      </c>
      <c r="S30" s="3">
        <f t="shared" si="7"/>
        <v>0</v>
      </c>
      <c r="T30" s="3">
        <f t="shared" si="8"/>
        <v>0</v>
      </c>
      <c r="U30" s="4">
        <f t="shared" si="9"/>
        <v>0</v>
      </c>
      <c r="V30" s="4">
        <f t="shared" si="10"/>
        <v>0</v>
      </c>
      <c r="W30" s="4">
        <f t="shared" si="11"/>
        <v>0</v>
      </c>
      <c r="X30" s="4">
        <f t="shared" si="12"/>
        <v>0</v>
      </c>
      <c r="Y30" s="4">
        <f t="shared" si="13"/>
        <v>0</v>
      </c>
      <c r="Z30" s="4">
        <f t="shared" si="14"/>
        <v>0</v>
      </c>
      <c r="AA30" s="4">
        <f t="shared" si="15"/>
        <v>0</v>
      </c>
      <c r="AB30" s="5">
        <f t="shared" si="21"/>
        <v>0</v>
      </c>
      <c r="AC30" s="5">
        <f t="shared" si="22"/>
        <v>0</v>
      </c>
      <c r="AD30" s="5">
        <f t="shared" si="16"/>
        <v>0</v>
      </c>
    </row>
    <row r="31" spans="1:30" x14ac:dyDescent="0.3">
      <c r="A31" s="11"/>
      <c r="B31" s="12"/>
      <c r="C31" s="12"/>
      <c r="D31" s="12"/>
      <c r="E31" s="13"/>
      <c r="F31" s="14"/>
      <c r="G31" s="14"/>
      <c r="H31" s="14"/>
      <c r="I31" s="15"/>
      <c r="J31" s="16">
        <f t="shared" si="19"/>
        <v>0</v>
      </c>
      <c r="K31" s="16">
        <f t="shared" si="20"/>
        <v>0</v>
      </c>
      <c r="L31" s="17">
        <f t="shared" si="17"/>
        <v>0</v>
      </c>
      <c r="M31" s="18">
        <f t="shared" si="18"/>
        <v>0</v>
      </c>
      <c r="N31" s="3">
        <f t="shared" si="2"/>
        <v>0</v>
      </c>
      <c r="O31" s="3">
        <f t="shared" si="3"/>
        <v>0</v>
      </c>
      <c r="P31" s="3">
        <f t="shared" si="4"/>
        <v>0</v>
      </c>
      <c r="Q31" s="3">
        <f t="shared" si="5"/>
        <v>0</v>
      </c>
      <c r="R31" s="3">
        <f t="shared" si="6"/>
        <v>0</v>
      </c>
      <c r="S31" s="3">
        <f t="shared" si="7"/>
        <v>0</v>
      </c>
      <c r="T31" s="3">
        <f t="shared" si="8"/>
        <v>0</v>
      </c>
      <c r="U31" s="4">
        <f t="shared" si="9"/>
        <v>0</v>
      </c>
      <c r="V31" s="4">
        <f t="shared" si="10"/>
        <v>0</v>
      </c>
      <c r="W31" s="4">
        <f t="shared" si="11"/>
        <v>0</v>
      </c>
      <c r="X31" s="4">
        <f t="shared" si="12"/>
        <v>0</v>
      </c>
      <c r="Y31" s="4">
        <f t="shared" si="13"/>
        <v>0</v>
      </c>
      <c r="Z31" s="4">
        <f t="shared" si="14"/>
        <v>0</v>
      </c>
      <c r="AA31" s="4">
        <f t="shared" si="15"/>
        <v>0</v>
      </c>
      <c r="AB31" s="5">
        <f t="shared" si="21"/>
        <v>0</v>
      </c>
      <c r="AC31" s="5">
        <f t="shared" si="22"/>
        <v>0</v>
      </c>
      <c r="AD31" s="5">
        <f t="shared" si="16"/>
        <v>0</v>
      </c>
    </row>
    <row r="32" spans="1:30" x14ac:dyDescent="0.3">
      <c r="A32" s="19"/>
      <c r="B32" s="12"/>
      <c r="C32" s="12"/>
      <c r="D32" s="12"/>
      <c r="E32" s="13"/>
      <c r="F32" s="14"/>
      <c r="G32" s="14"/>
      <c r="H32" s="14"/>
      <c r="I32" s="15"/>
      <c r="J32" s="16">
        <f t="shared" si="19"/>
        <v>0</v>
      </c>
      <c r="K32" s="16">
        <f t="shared" si="20"/>
        <v>0</v>
      </c>
      <c r="L32" s="17">
        <f t="shared" si="17"/>
        <v>0</v>
      </c>
      <c r="M32" s="18">
        <f t="shared" si="18"/>
        <v>0</v>
      </c>
      <c r="N32" s="3">
        <f t="shared" si="2"/>
        <v>0</v>
      </c>
      <c r="O32" s="3">
        <f t="shared" si="3"/>
        <v>0</v>
      </c>
      <c r="P32" s="3">
        <f t="shared" si="4"/>
        <v>0</v>
      </c>
      <c r="Q32" s="3">
        <f t="shared" si="5"/>
        <v>0</v>
      </c>
      <c r="R32" s="3">
        <f t="shared" si="6"/>
        <v>0</v>
      </c>
      <c r="S32" s="3">
        <f t="shared" si="7"/>
        <v>0</v>
      </c>
      <c r="T32" s="3">
        <f t="shared" si="8"/>
        <v>0</v>
      </c>
      <c r="U32" s="4">
        <f t="shared" si="9"/>
        <v>0</v>
      </c>
      <c r="V32" s="4">
        <f t="shared" si="10"/>
        <v>0</v>
      </c>
      <c r="W32" s="4">
        <f t="shared" si="11"/>
        <v>0</v>
      </c>
      <c r="X32" s="4">
        <f t="shared" si="12"/>
        <v>0</v>
      </c>
      <c r="Y32" s="4">
        <f t="shared" si="13"/>
        <v>0</v>
      </c>
      <c r="Z32" s="4">
        <f t="shared" si="14"/>
        <v>0</v>
      </c>
      <c r="AA32" s="4">
        <f t="shared" si="15"/>
        <v>0</v>
      </c>
      <c r="AB32" s="5">
        <f t="shared" si="21"/>
        <v>0</v>
      </c>
      <c r="AC32" s="5">
        <f t="shared" si="22"/>
        <v>0</v>
      </c>
      <c r="AD32" s="5">
        <f t="shared" si="16"/>
        <v>0</v>
      </c>
    </row>
    <row r="33" spans="1:30" x14ac:dyDescent="0.3">
      <c r="A33" s="19"/>
      <c r="B33" s="12"/>
      <c r="C33" s="12"/>
      <c r="D33" s="12"/>
      <c r="E33" s="13"/>
      <c r="F33" s="14"/>
      <c r="G33" s="14"/>
      <c r="H33" s="14"/>
      <c r="I33" s="15"/>
      <c r="J33" s="16">
        <f t="shared" si="19"/>
        <v>0</v>
      </c>
      <c r="K33" s="16">
        <f t="shared" si="20"/>
        <v>0</v>
      </c>
      <c r="L33" s="17">
        <f t="shared" si="17"/>
        <v>0</v>
      </c>
      <c r="M33" s="18">
        <f t="shared" si="18"/>
        <v>0</v>
      </c>
      <c r="N33" s="3">
        <f t="shared" si="2"/>
        <v>0</v>
      </c>
      <c r="O33" s="3">
        <f t="shared" si="3"/>
        <v>0</v>
      </c>
      <c r="P33" s="3">
        <f t="shared" si="4"/>
        <v>0</v>
      </c>
      <c r="Q33" s="3">
        <f t="shared" si="5"/>
        <v>0</v>
      </c>
      <c r="R33" s="3">
        <f t="shared" si="6"/>
        <v>0</v>
      </c>
      <c r="S33" s="3">
        <f t="shared" si="7"/>
        <v>0</v>
      </c>
      <c r="T33" s="3">
        <f t="shared" si="8"/>
        <v>0</v>
      </c>
      <c r="U33" s="4">
        <f t="shared" si="9"/>
        <v>0</v>
      </c>
      <c r="V33" s="4">
        <f t="shared" si="10"/>
        <v>0</v>
      </c>
      <c r="W33" s="4">
        <f t="shared" si="11"/>
        <v>0</v>
      </c>
      <c r="X33" s="4">
        <f t="shared" si="12"/>
        <v>0</v>
      </c>
      <c r="Y33" s="4">
        <f t="shared" si="13"/>
        <v>0</v>
      </c>
      <c r="Z33" s="4">
        <f t="shared" si="14"/>
        <v>0</v>
      </c>
      <c r="AA33" s="4">
        <f t="shared" si="15"/>
        <v>0</v>
      </c>
      <c r="AB33" s="5">
        <f t="shared" si="21"/>
        <v>0</v>
      </c>
      <c r="AC33" s="5">
        <f t="shared" si="22"/>
        <v>0</v>
      </c>
      <c r="AD33" s="5">
        <f t="shared" si="16"/>
        <v>0</v>
      </c>
    </row>
    <row r="34" spans="1:30" x14ac:dyDescent="0.3">
      <c r="A34" s="19"/>
      <c r="B34" s="12"/>
      <c r="C34" s="12"/>
      <c r="D34" s="12"/>
      <c r="E34" s="13"/>
      <c r="F34" s="14"/>
      <c r="G34" s="14"/>
      <c r="H34" s="14"/>
      <c r="I34" s="15"/>
      <c r="J34" s="16">
        <f t="shared" si="19"/>
        <v>0</v>
      </c>
      <c r="K34" s="16">
        <f t="shared" si="20"/>
        <v>0</v>
      </c>
      <c r="L34" s="17">
        <f t="shared" si="17"/>
        <v>0</v>
      </c>
      <c r="M34" s="18">
        <f t="shared" si="18"/>
        <v>0</v>
      </c>
      <c r="N34" s="3">
        <f t="shared" si="2"/>
        <v>0</v>
      </c>
      <c r="O34" s="3">
        <f t="shared" si="3"/>
        <v>0</v>
      </c>
      <c r="P34" s="3">
        <f t="shared" si="4"/>
        <v>0</v>
      </c>
      <c r="Q34" s="3">
        <f t="shared" si="5"/>
        <v>0</v>
      </c>
      <c r="R34" s="3">
        <f t="shared" si="6"/>
        <v>0</v>
      </c>
      <c r="S34" s="3">
        <f t="shared" si="7"/>
        <v>0</v>
      </c>
      <c r="T34" s="3">
        <f t="shared" si="8"/>
        <v>0</v>
      </c>
      <c r="U34" s="4">
        <f t="shared" si="9"/>
        <v>0</v>
      </c>
      <c r="V34" s="4">
        <f t="shared" si="10"/>
        <v>0</v>
      </c>
      <c r="W34" s="4">
        <f t="shared" si="11"/>
        <v>0</v>
      </c>
      <c r="X34" s="4">
        <f t="shared" si="12"/>
        <v>0</v>
      </c>
      <c r="Y34" s="4">
        <f t="shared" si="13"/>
        <v>0</v>
      </c>
      <c r="Z34" s="4">
        <f t="shared" si="14"/>
        <v>0</v>
      </c>
      <c r="AA34" s="4">
        <f t="shared" si="15"/>
        <v>0</v>
      </c>
      <c r="AB34" s="5">
        <f t="shared" si="21"/>
        <v>0</v>
      </c>
      <c r="AC34" s="5">
        <f t="shared" si="22"/>
        <v>0</v>
      </c>
      <c r="AD34" s="5">
        <f t="shared" si="16"/>
        <v>0</v>
      </c>
    </row>
    <row r="35" spans="1:30" x14ac:dyDescent="0.3">
      <c r="A35" s="19"/>
      <c r="B35" s="12"/>
      <c r="C35" s="12"/>
      <c r="D35" s="12"/>
      <c r="E35" s="13"/>
      <c r="F35" s="14"/>
      <c r="G35" s="14"/>
      <c r="H35" s="14"/>
      <c r="I35" s="15"/>
      <c r="J35" s="16">
        <f t="shared" si="19"/>
        <v>0</v>
      </c>
      <c r="K35" s="16">
        <f t="shared" si="20"/>
        <v>0</v>
      </c>
      <c r="L35" s="17">
        <f t="shared" si="17"/>
        <v>0</v>
      </c>
      <c r="M35" s="18">
        <f t="shared" si="18"/>
        <v>0</v>
      </c>
      <c r="N35" s="3">
        <f t="shared" si="2"/>
        <v>0</v>
      </c>
      <c r="O35" s="3">
        <f t="shared" si="3"/>
        <v>0</v>
      </c>
      <c r="P35" s="3">
        <f t="shared" si="4"/>
        <v>0</v>
      </c>
      <c r="Q35" s="3">
        <f t="shared" si="5"/>
        <v>0</v>
      </c>
      <c r="R35" s="3">
        <f t="shared" si="6"/>
        <v>0</v>
      </c>
      <c r="S35" s="3">
        <f t="shared" si="7"/>
        <v>0</v>
      </c>
      <c r="T35" s="3">
        <f t="shared" si="8"/>
        <v>0</v>
      </c>
      <c r="U35" s="4">
        <f t="shared" si="9"/>
        <v>0</v>
      </c>
      <c r="V35" s="4">
        <f t="shared" si="10"/>
        <v>0</v>
      </c>
      <c r="W35" s="4">
        <f t="shared" si="11"/>
        <v>0</v>
      </c>
      <c r="X35" s="4">
        <f t="shared" si="12"/>
        <v>0</v>
      </c>
      <c r="Y35" s="4">
        <f t="shared" si="13"/>
        <v>0</v>
      </c>
      <c r="Z35" s="4">
        <f t="shared" si="14"/>
        <v>0</v>
      </c>
      <c r="AA35" s="4">
        <f t="shared" si="15"/>
        <v>0</v>
      </c>
      <c r="AB35" s="5">
        <f t="shared" si="21"/>
        <v>0</v>
      </c>
      <c r="AC35" s="5">
        <f t="shared" si="22"/>
        <v>0</v>
      </c>
      <c r="AD35" s="5">
        <f t="shared" si="16"/>
        <v>0</v>
      </c>
    </row>
    <row r="36" spans="1:30" x14ac:dyDescent="0.3">
      <c r="A36" s="19"/>
      <c r="B36" s="12"/>
      <c r="C36" s="12"/>
      <c r="D36" s="12"/>
      <c r="E36" s="13"/>
      <c r="F36" s="14"/>
      <c r="G36" s="14"/>
      <c r="H36" s="14"/>
      <c r="I36" s="15"/>
      <c r="J36" s="16">
        <f t="shared" si="19"/>
        <v>0</v>
      </c>
      <c r="K36" s="16">
        <f t="shared" si="20"/>
        <v>0</v>
      </c>
      <c r="L36" s="17">
        <f t="shared" si="17"/>
        <v>0</v>
      </c>
      <c r="M36" s="18">
        <f t="shared" si="18"/>
        <v>0</v>
      </c>
      <c r="N36" s="3">
        <f t="shared" si="2"/>
        <v>0</v>
      </c>
      <c r="O36" s="3">
        <f t="shared" si="3"/>
        <v>0</v>
      </c>
      <c r="P36" s="3">
        <f t="shared" si="4"/>
        <v>0</v>
      </c>
      <c r="Q36" s="3">
        <f t="shared" si="5"/>
        <v>0</v>
      </c>
      <c r="R36" s="3">
        <f t="shared" si="6"/>
        <v>0</v>
      </c>
      <c r="S36" s="3">
        <f t="shared" si="7"/>
        <v>0</v>
      </c>
      <c r="T36" s="3">
        <f t="shared" si="8"/>
        <v>0</v>
      </c>
      <c r="U36" s="4">
        <f t="shared" si="9"/>
        <v>0</v>
      </c>
      <c r="V36" s="4">
        <f t="shared" si="10"/>
        <v>0</v>
      </c>
      <c r="W36" s="4">
        <f t="shared" si="11"/>
        <v>0</v>
      </c>
      <c r="X36" s="4">
        <f t="shared" si="12"/>
        <v>0</v>
      </c>
      <c r="Y36" s="4">
        <f t="shared" si="13"/>
        <v>0</v>
      </c>
      <c r="Z36" s="4">
        <f t="shared" si="14"/>
        <v>0</v>
      </c>
      <c r="AA36" s="4">
        <f t="shared" si="15"/>
        <v>0</v>
      </c>
      <c r="AB36" s="5">
        <f t="shared" si="21"/>
        <v>0</v>
      </c>
      <c r="AC36" s="5">
        <f t="shared" si="22"/>
        <v>0</v>
      </c>
      <c r="AD36" s="5">
        <f t="shared" si="16"/>
        <v>0</v>
      </c>
    </row>
    <row r="37" spans="1:30" x14ac:dyDescent="0.3">
      <c r="A37" s="19"/>
      <c r="B37" s="12"/>
      <c r="C37" s="12"/>
      <c r="D37" s="12"/>
      <c r="E37" s="13"/>
      <c r="F37" s="14"/>
      <c r="G37" s="14"/>
      <c r="H37" s="14"/>
      <c r="I37" s="15"/>
      <c r="J37" s="16">
        <f t="shared" si="19"/>
        <v>0</v>
      </c>
      <c r="K37" s="16">
        <f t="shared" si="20"/>
        <v>0</v>
      </c>
      <c r="L37" s="17">
        <f t="shared" si="17"/>
        <v>0</v>
      </c>
      <c r="M37" s="18">
        <f t="shared" si="18"/>
        <v>0</v>
      </c>
      <c r="N37" s="3">
        <f t="shared" si="2"/>
        <v>0</v>
      </c>
      <c r="O37" s="3">
        <f t="shared" si="3"/>
        <v>0</v>
      </c>
      <c r="P37" s="3">
        <f t="shared" si="4"/>
        <v>0</v>
      </c>
      <c r="Q37" s="3">
        <f t="shared" si="5"/>
        <v>0</v>
      </c>
      <c r="R37" s="3">
        <f t="shared" si="6"/>
        <v>0</v>
      </c>
      <c r="S37" s="3">
        <f t="shared" si="7"/>
        <v>0</v>
      </c>
      <c r="T37" s="3">
        <f t="shared" si="8"/>
        <v>0</v>
      </c>
      <c r="U37" s="4">
        <f t="shared" si="9"/>
        <v>0</v>
      </c>
      <c r="V37" s="4">
        <f t="shared" si="10"/>
        <v>0</v>
      </c>
      <c r="W37" s="4">
        <f t="shared" si="11"/>
        <v>0</v>
      </c>
      <c r="X37" s="4">
        <f t="shared" si="12"/>
        <v>0</v>
      </c>
      <c r="Y37" s="4">
        <f t="shared" si="13"/>
        <v>0</v>
      </c>
      <c r="Z37" s="4">
        <f t="shared" si="14"/>
        <v>0</v>
      </c>
      <c r="AA37" s="4">
        <f t="shared" si="15"/>
        <v>0</v>
      </c>
      <c r="AB37" s="5">
        <f t="shared" si="21"/>
        <v>0</v>
      </c>
      <c r="AC37" s="5">
        <f t="shared" si="22"/>
        <v>0</v>
      </c>
      <c r="AD37" s="5">
        <f t="shared" si="16"/>
        <v>0</v>
      </c>
    </row>
    <row r="38" spans="1:30" ht="15" customHeight="1" x14ac:dyDescent="0.3">
      <c r="A38" s="19"/>
      <c r="B38" s="14"/>
      <c r="C38" s="14"/>
      <c r="D38" s="14"/>
      <c r="E38" s="15"/>
      <c r="F38" s="14"/>
      <c r="G38" s="14"/>
      <c r="H38" s="14"/>
      <c r="I38" s="15"/>
      <c r="J38" s="16">
        <f t="shared" si="19"/>
        <v>0</v>
      </c>
      <c r="K38" s="16">
        <f t="shared" si="20"/>
        <v>0</v>
      </c>
      <c r="L38" s="17">
        <f t="shared" si="17"/>
        <v>0</v>
      </c>
      <c r="M38" s="18">
        <f t="shared" si="18"/>
        <v>0</v>
      </c>
      <c r="N38" s="3">
        <f t="shared" si="2"/>
        <v>0</v>
      </c>
      <c r="O38" s="3">
        <f t="shared" si="3"/>
        <v>0</v>
      </c>
      <c r="P38" s="3">
        <f t="shared" si="4"/>
        <v>0</v>
      </c>
      <c r="Q38" s="3">
        <f t="shared" si="5"/>
        <v>0</v>
      </c>
      <c r="R38" s="3">
        <f t="shared" si="6"/>
        <v>0</v>
      </c>
      <c r="S38" s="3">
        <f t="shared" si="7"/>
        <v>0</v>
      </c>
      <c r="T38" s="3">
        <f t="shared" si="8"/>
        <v>0</v>
      </c>
      <c r="U38" s="4">
        <f t="shared" si="9"/>
        <v>0</v>
      </c>
      <c r="V38" s="4">
        <f t="shared" si="10"/>
        <v>0</v>
      </c>
      <c r="W38" s="4">
        <f t="shared" si="11"/>
        <v>0</v>
      </c>
      <c r="X38" s="4">
        <f t="shared" si="12"/>
        <v>0</v>
      </c>
      <c r="Y38" s="4">
        <f t="shared" si="13"/>
        <v>0</v>
      </c>
      <c r="Z38" s="4">
        <f t="shared" si="14"/>
        <v>0</v>
      </c>
      <c r="AA38" s="4">
        <f t="shared" si="15"/>
        <v>0</v>
      </c>
      <c r="AB38" s="5">
        <f t="shared" si="21"/>
        <v>0</v>
      </c>
      <c r="AC38" s="5">
        <f t="shared" si="22"/>
        <v>0</v>
      </c>
      <c r="AD38" s="5">
        <f t="shared" si="16"/>
        <v>0</v>
      </c>
    </row>
    <row r="39" spans="1:30" x14ac:dyDescent="0.3">
      <c r="A39" s="11"/>
      <c r="B39" s="14"/>
      <c r="C39" s="14"/>
      <c r="D39" s="14"/>
      <c r="E39" s="15"/>
      <c r="F39" s="12"/>
      <c r="G39" s="12"/>
      <c r="H39" s="12"/>
      <c r="I39" s="13"/>
      <c r="J39" s="16">
        <f t="shared" si="19"/>
        <v>0</v>
      </c>
      <c r="K39" s="16">
        <f t="shared" si="20"/>
        <v>0</v>
      </c>
      <c r="L39" s="17">
        <f t="shared" si="17"/>
        <v>0</v>
      </c>
      <c r="M39" s="18">
        <f t="shared" si="18"/>
        <v>0</v>
      </c>
      <c r="N39" s="3">
        <f t="shared" si="2"/>
        <v>0</v>
      </c>
      <c r="O39" s="3">
        <f t="shared" si="3"/>
        <v>0</v>
      </c>
      <c r="P39" s="3">
        <f t="shared" si="4"/>
        <v>0</v>
      </c>
      <c r="Q39" s="3">
        <f t="shared" si="5"/>
        <v>0</v>
      </c>
      <c r="R39" s="3">
        <f t="shared" si="6"/>
        <v>0</v>
      </c>
      <c r="S39" s="3">
        <f t="shared" si="7"/>
        <v>0</v>
      </c>
      <c r="T39" s="3">
        <f t="shared" si="8"/>
        <v>0</v>
      </c>
      <c r="U39" s="4">
        <f t="shared" si="9"/>
        <v>0</v>
      </c>
      <c r="V39" s="4">
        <f t="shared" si="10"/>
        <v>0</v>
      </c>
      <c r="W39" s="4">
        <f t="shared" si="11"/>
        <v>0</v>
      </c>
      <c r="X39" s="4">
        <f t="shared" si="12"/>
        <v>0</v>
      </c>
      <c r="Y39" s="4">
        <f t="shared" si="13"/>
        <v>0</v>
      </c>
      <c r="Z39" s="4">
        <f t="shared" si="14"/>
        <v>0</v>
      </c>
      <c r="AA39" s="4">
        <f t="shared" si="15"/>
        <v>0</v>
      </c>
      <c r="AB39" s="5">
        <f t="shared" si="21"/>
        <v>0</v>
      </c>
      <c r="AC39" s="5">
        <f t="shared" si="22"/>
        <v>0</v>
      </c>
      <c r="AD39" s="5">
        <f t="shared" si="16"/>
        <v>0</v>
      </c>
    </row>
    <row r="40" spans="1:30" x14ac:dyDescent="0.3">
      <c r="A40" s="19"/>
      <c r="B40" s="14"/>
      <c r="C40" s="14"/>
      <c r="D40" s="14"/>
      <c r="E40" s="15"/>
      <c r="F40" s="12"/>
      <c r="G40" s="12"/>
      <c r="H40" s="12"/>
      <c r="I40" s="13"/>
      <c r="J40" s="16">
        <f t="shared" si="19"/>
        <v>0</v>
      </c>
      <c r="K40" s="16">
        <f t="shared" si="20"/>
        <v>0</v>
      </c>
      <c r="L40" s="17">
        <f t="shared" si="17"/>
        <v>0</v>
      </c>
      <c r="M40" s="18">
        <f t="shared" si="18"/>
        <v>0</v>
      </c>
      <c r="N40" s="3">
        <f t="shared" si="2"/>
        <v>0</v>
      </c>
      <c r="O40" s="3">
        <f t="shared" si="3"/>
        <v>0</v>
      </c>
      <c r="P40" s="3">
        <f t="shared" si="4"/>
        <v>0</v>
      </c>
      <c r="Q40" s="3">
        <f t="shared" si="5"/>
        <v>0</v>
      </c>
      <c r="R40" s="3">
        <f t="shared" si="6"/>
        <v>0</v>
      </c>
      <c r="S40" s="3">
        <f t="shared" si="7"/>
        <v>0</v>
      </c>
      <c r="T40" s="3">
        <f t="shared" si="8"/>
        <v>0</v>
      </c>
      <c r="U40" s="4">
        <f t="shared" si="9"/>
        <v>0</v>
      </c>
      <c r="V40" s="4">
        <f t="shared" si="10"/>
        <v>0</v>
      </c>
      <c r="W40" s="4">
        <f t="shared" si="11"/>
        <v>0</v>
      </c>
      <c r="X40" s="4">
        <f t="shared" si="12"/>
        <v>0</v>
      </c>
      <c r="Y40" s="4">
        <f t="shared" si="13"/>
        <v>0</v>
      </c>
      <c r="Z40" s="4">
        <f t="shared" si="14"/>
        <v>0</v>
      </c>
      <c r="AA40" s="4">
        <f t="shared" si="15"/>
        <v>0</v>
      </c>
      <c r="AB40" s="5">
        <f t="shared" si="21"/>
        <v>0</v>
      </c>
      <c r="AC40" s="5">
        <f t="shared" si="22"/>
        <v>0</v>
      </c>
      <c r="AD40" s="5">
        <f t="shared" si="16"/>
        <v>0</v>
      </c>
    </row>
    <row r="41" spans="1:30" x14ac:dyDescent="0.3">
      <c r="A41" s="11"/>
      <c r="B41" s="14"/>
      <c r="C41" s="14"/>
      <c r="D41" s="14"/>
      <c r="E41" s="15"/>
      <c r="F41" s="12"/>
      <c r="G41" s="12"/>
      <c r="H41" s="12"/>
      <c r="I41" s="13"/>
      <c r="J41" s="16">
        <f t="shared" si="19"/>
        <v>0</v>
      </c>
      <c r="K41" s="16">
        <f t="shared" si="20"/>
        <v>0</v>
      </c>
      <c r="L41" s="17">
        <f t="shared" si="17"/>
        <v>0</v>
      </c>
      <c r="M41" s="18">
        <f t="shared" si="18"/>
        <v>0</v>
      </c>
      <c r="N41" s="3">
        <f t="shared" si="2"/>
        <v>0</v>
      </c>
      <c r="O41" s="3">
        <f t="shared" si="3"/>
        <v>0</v>
      </c>
      <c r="P41" s="3">
        <f t="shared" si="4"/>
        <v>0</v>
      </c>
      <c r="Q41" s="3">
        <f t="shared" si="5"/>
        <v>0</v>
      </c>
      <c r="R41" s="3">
        <f t="shared" si="6"/>
        <v>0</v>
      </c>
      <c r="S41" s="3">
        <f t="shared" si="7"/>
        <v>0</v>
      </c>
      <c r="T41" s="3">
        <f t="shared" si="8"/>
        <v>0</v>
      </c>
      <c r="U41" s="4">
        <f t="shared" si="9"/>
        <v>0</v>
      </c>
      <c r="V41" s="4">
        <f t="shared" si="10"/>
        <v>0</v>
      </c>
      <c r="W41" s="4">
        <f t="shared" si="11"/>
        <v>0</v>
      </c>
      <c r="X41" s="4">
        <f t="shared" si="12"/>
        <v>0</v>
      </c>
      <c r="Y41" s="4">
        <f t="shared" si="13"/>
        <v>0</v>
      </c>
      <c r="Z41" s="4">
        <f t="shared" si="14"/>
        <v>0</v>
      </c>
      <c r="AA41" s="4">
        <f t="shared" si="15"/>
        <v>0</v>
      </c>
      <c r="AB41" s="5">
        <f t="shared" si="21"/>
        <v>0</v>
      </c>
      <c r="AC41" s="5">
        <f t="shared" si="22"/>
        <v>0</v>
      </c>
      <c r="AD41" s="5">
        <f t="shared" si="16"/>
        <v>0</v>
      </c>
    </row>
    <row r="42" spans="1:30" x14ac:dyDescent="0.3">
      <c r="A42" s="19"/>
      <c r="B42" s="14"/>
      <c r="C42" s="14"/>
      <c r="D42" s="14"/>
      <c r="E42" s="15"/>
      <c r="F42" s="12"/>
      <c r="G42" s="12"/>
      <c r="H42" s="12"/>
      <c r="I42" s="13"/>
      <c r="J42" s="16">
        <f t="shared" si="19"/>
        <v>0</v>
      </c>
      <c r="K42" s="16">
        <f t="shared" si="20"/>
        <v>0</v>
      </c>
      <c r="L42" s="17">
        <f t="shared" si="17"/>
        <v>0</v>
      </c>
      <c r="M42" s="18">
        <f t="shared" si="18"/>
        <v>0</v>
      </c>
      <c r="N42" s="3">
        <f t="shared" si="2"/>
        <v>0</v>
      </c>
      <c r="O42" s="3">
        <f t="shared" si="3"/>
        <v>0</v>
      </c>
      <c r="P42" s="3">
        <f t="shared" si="4"/>
        <v>0</v>
      </c>
      <c r="Q42" s="3">
        <f t="shared" si="5"/>
        <v>0</v>
      </c>
      <c r="R42" s="3">
        <f t="shared" si="6"/>
        <v>0</v>
      </c>
      <c r="S42" s="3">
        <f t="shared" si="7"/>
        <v>0</v>
      </c>
      <c r="T42" s="3">
        <f t="shared" si="8"/>
        <v>0</v>
      </c>
      <c r="U42" s="4">
        <f t="shared" si="9"/>
        <v>0</v>
      </c>
      <c r="V42" s="4">
        <f t="shared" si="10"/>
        <v>0</v>
      </c>
      <c r="W42" s="4">
        <f t="shared" si="11"/>
        <v>0</v>
      </c>
      <c r="X42" s="4">
        <f t="shared" si="12"/>
        <v>0</v>
      </c>
      <c r="Y42" s="4">
        <f t="shared" si="13"/>
        <v>0</v>
      </c>
      <c r="Z42" s="4">
        <f t="shared" si="14"/>
        <v>0</v>
      </c>
      <c r="AA42" s="4">
        <f t="shared" si="15"/>
        <v>0</v>
      </c>
      <c r="AB42" s="5">
        <f t="shared" si="21"/>
        <v>0</v>
      </c>
      <c r="AC42" s="5">
        <f t="shared" si="22"/>
        <v>0</v>
      </c>
      <c r="AD42" s="5">
        <f t="shared" si="16"/>
        <v>0</v>
      </c>
    </row>
    <row r="43" spans="1:30" x14ac:dyDescent="0.3">
      <c r="A43" s="11"/>
      <c r="B43" s="14"/>
      <c r="C43" s="14"/>
      <c r="D43" s="14"/>
      <c r="E43" s="15"/>
      <c r="F43" s="12"/>
      <c r="G43" s="12"/>
      <c r="H43" s="12"/>
      <c r="I43" s="13"/>
      <c r="J43" s="16">
        <f t="shared" si="19"/>
        <v>0</v>
      </c>
      <c r="K43" s="16">
        <f t="shared" si="20"/>
        <v>0</v>
      </c>
      <c r="L43" s="17">
        <f t="shared" si="17"/>
        <v>0</v>
      </c>
      <c r="M43" s="18">
        <f t="shared" si="18"/>
        <v>0</v>
      </c>
      <c r="N43" s="3">
        <f t="shared" si="2"/>
        <v>0</v>
      </c>
      <c r="O43" s="3">
        <f t="shared" si="3"/>
        <v>0</v>
      </c>
      <c r="P43" s="3">
        <f t="shared" si="4"/>
        <v>0</v>
      </c>
      <c r="Q43" s="3">
        <f t="shared" si="5"/>
        <v>0</v>
      </c>
      <c r="R43" s="3">
        <f t="shared" si="6"/>
        <v>0</v>
      </c>
      <c r="S43" s="3">
        <f t="shared" si="7"/>
        <v>0</v>
      </c>
      <c r="T43" s="3">
        <f t="shared" si="8"/>
        <v>0</v>
      </c>
      <c r="U43" s="4">
        <f t="shared" si="9"/>
        <v>0</v>
      </c>
      <c r="V43" s="4">
        <f t="shared" si="10"/>
        <v>0</v>
      </c>
      <c r="W43" s="4">
        <f t="shared" si="11"/>
        <v>0</v>
      </c>
      <c r="X43" s="4">
        <f t="shared" si="12"/>
        <v>0</v>
      </c>
      <c r="Y43" s="4">
        <f t="shared" si="13"/>
        <v>0</v>
      </c>
      <c r="Z43" s="4">
        <f t="shared" si="14"/>
        <v>0</v>
      </c>
      <c r="AA43" s="4">
        <f t="shared" si="15"/>
        <v>0</v>
      </c>
      <c r="AB43" s="5">
        <f t="shared" si="21"/>
        <v>0</v>
      </c>
      <c r="AC43" s="5">
        <f t="shared" si="22"/>
        <v>0</v>
      </c>
      <c r="AD43" s="5">
        <f t="shared" si="16"/>
        <v>0</v>
      </c>
    </row>
    <row r="44" spans="1:30" x14ac:dyDescent="0.3">
      <c r="A44" s="19"/>
      <c r="B44" s="14"/>
      <c r="C44" s="14"/>
      <c r="D44" s="14"/>
      <c r="E44" s="15"/>
      <c r="F44" s="12"/>
      <c r="G44" s="12"/>
      <c r="H44" s="12"/>
      <c r="I44" s="13"/>
      <c r="J44" s="16">
        <f t="shared" si="19"/>
        <v>0</v>
      </c>
      <c r="K44" s="16">
        <f t="shared" si="20"/>
        <v>0</v>
      </c>
      <c r="L44" s="17">
        <f t="shared" si="17"/>
        <v>0</v>
      </c>
      <c r="M44" s="18">
        <f t="shared" si="18"/>
        <v>0</v>
      </c>
      <c r="N44" s="3">
        <f t="shared" si="2"/>
        <v>0</v>
      </c>
      <c r="O44" s="3">
        <f t="shared" si="3"/>
        <v>0</v>
      </c>
      <c r="P44" s="3">
        <f t="shared" si="4"/>
        <v>0</v>
      </c>
      <c r="Q44" s="3">
        <f t="shared" si="5"/>
        <v>0</v>
      </c>
      <c r="R44" s="3">
        <f t="shared" si="6"/>
        <v>0</v>
      </c>
      <c r="S44" s="3">
        <f t="shared" si="7"/>
        <v>0</v>
      </c>
      <c r="T44" s="3">
        <f t="shared" si="8"/>
        <v>0</v>
      </c>
      <c r="U44" s="4">
        <f t="shared" si="9"/>
        <v>0</v>
      </c>
      <c r="V44" s="4">
        <f t="shared" si="10"/>
        <v>0</v>
      </c>
      <c r="W44" s="4">
        <f t="shared" si="11"/>
        <v>0</v>
      </c>
      <c r="X44" s="4">
        <f t="shared" si="12"/>
        <v>0</v>
      </c>
      <c r="Y44" s="4">
        <f t="shared" si="13"/>
        <v>0</v>
      </c>
      <c r="Z44" s="4">
        <f t="shared" si="14"/>
        <v>0</v>
      </c>
      <c r="AA44" s="4">
        <f t="shared" si="15"/>
        <v>0</v>
      </c>
      <c r="AB44" s="5">
        <f t="shared" si="21"/>
        <v>0</v>
      </c>
      <c r="AC44" s="5">
        <f t="shared" si="22"/>
        <v>0</v>
      </c>
      <c r="AD44" s="5">
        <f t="shared" si="16"/>
        <v>0</v>
      </c>
    </row>
    <row r="45" spans="1:30" x14ac:dyDescent="0.3">
      <c r="A45" s="11"/>
      <c r="B45" s="14"/>
      <c r="C45" s="14"/>
      <c r="D45" s="14"/>
      <c r="E45" s="15"/>
      <c r="F45" s="12"/>
      <c r="G45" s="12"/>
      <c r="H45" s="12"/>
      <c r="I45" s="13"/>
      <c r="J45" s="16">
        <f t="shared" si="19"/>
        <v>0</v>
      </c>
      <c r="K45" s="16">
        <f t="shared" si="20"/>
        <v>0</v>
      </c>
      <c r="L45" s="17">
        <f t="shared" si="17"/>
        <v>0</v>
      </c>
      <c r="M45" s="18">
        <f t="shared" si="18"/>
        <v>0</v>
      </c>
      <c r="N45" s="3">
        <f t="shared" si="2"/>
        <v>0</v>
      </c>
      <c r="O45" s="3">
        <f t="shared" si="3"/>
        <v>0</v>
      </c>
      <c r="P45" s="3">
        <f t="shared" si="4"/>
        <v>0</v>
      </c>
      <c r="Q45" s="3">
        <f t="shared" si="5"/>
        <v>0</v>
      </c>
      <c r="R45" s="3">
        <f t="shared" si="6"/>
        <v>0</v>
      </c>
      <c r="S45" s="3">
        <f t="shared" si="7"/>
        <v>0</v>
      </c>
      <c r="T45" s="3">
        <f t="shared" si="8"/>
        <v>0</v>
      </c>
      <c r="U45" s="4">
        <f t="shared" si="9"/>
        <v>0</v>
      </c>
      <c r="V45" s="4">
        <f t="shared" si="10"/>
        <v>0</v>
      </c>
      <c r="W45" s="4">
        <f t="shared" si="11"/>
        <v>0</v>
      </c>
      <c r="X45" s="4">
        <f t="shared" si="12"/>
        <v>0</v>
      </c>
      <c r="Y45" s="4">
        <f t="shared" si="13"/>
        <v>0</v>
      </c>
      <c r="Z45" s="4">
        <f t="shared" si="14"/>
        <v>0</v>
      </c>
      <c r="AA45" s="4">
        <f t="shared" si="15"/>
        <v>0</v>
      </c>
      <c r="AB45" s="5">
        <f t="shared" si="21"/>
        <v>0</v>
      </c>
      <c r="AC45" s="5">
        <f t="shared" si="22"/>
        <v>0</v>
      </c>
      <c r="AD45" s="5">
        <f t="shared" si="16"/>
        <v>0</v>
      </c>
    </row>
    <row r="46" spans="1:30" x14ac:dyDescent="0.3">
      <c r="A46" s="19"/>
      <c r="B46" s="14"/>
      <c r="C46" s="14"/>
      <c r="D46" s="14"/>
      <c r="E46" s="15"/>
      <c r="F46" s="12"/>
      <c r="G46" s="12"/>
      <c r="H46" s="12"/>
      <c r="I46" s="13"/>
      <c r="J46" s="16">
        <f t="shared" si="19"/>
        <v>0</v>
      </c>
      <c r="K46" s="16">
        <f t="shared" si="20"/>
        <v>0</v>
      </c>
      <c r="L46" s="17">
        <f t="shared" si="17"/>
        <v>0</v>
      </c>
      <c r="M46" s="18">
        <f t="shared" si="18"/>
        <v>0</v>
      </c>
      <c r="N46" s="3">
        <f t="shared" si="2"/>
        <v>0</v>
      </c>
      <c r="O46" s="3">
        <f t="shared" si="3"/>
        <v>0</v>
      </c>
      <c r="P46" s="3">
        <f t="shared" si="4"/>
        <v>0</v>
      </c>
      <c r="Q46" s="3">
        <f t="shared" si="5"/>
        <v>0</v>
      </c>
      <c r="R46" s="3">
        <f t="shared" si="6"/>
        <v>0</v>
      </c>
      <c r="S46" s="3">
        <f t="shared" si="7"/>
        <v>0</v>
      </c>
      <c r="T46" s="3">
        <f t="shared" si="8"/>
        <v>0</v>
      </c>
      <c r="U46" s="4">
        <f t="shared" si="9"/>
        <v>0</v>
      </c>
      <c r="V46" s="4">
        <f t="shared" si="10"/>
        <v>0</v>
      </c>
      <c r="W46" s="4">
        <f t="shared" si="11"/>
        <v>0</v>
      </c>
      <c r="X46" s="4">
        <f t="shared" si="12"/>
        <v>0</v>
      </c>
      <c r="Y46" s="4">
        <f t="shared" si="13"/>
        <v>0</v>
      </c>
      <c r="Z46" s="4">
        <f t="shared" si="14"/>
        <v>0</v>
      </c>
      <c r="AA46" s="4">
        <f t="shared" si="15"/>
        <v>0</v>
      </c>
      <c r="AB46" s="5">
        <f t="shared" si="21"/>
        <v>0</v>
      </c>
      <c r="AC46" s="5">
        <f t="shared" si="22"/>
        <v>0</v>
      </c>
      <c r="AD46" s="5">
        <f t="shared" si="16"/>
        <v>0</v>
      </c>
    </row>
    <row r="47" spans="1:30" x14ac:dyDescent="0.3">
      <c r="A47" s="11"/>
      <c r="B47" s="14"/>
      <c r="C47" s="14"/>
      <c r="D47" s="14"/>
      <c r="E47" s="15"/>
      <c r="F47" s="12"/>
      <c r="G47" s="12"/>
      <c r="H47" s="12"/>
      <c r="I47" s="13"/>
      <c r="J47" s="16">
        <f t="shared" si="19"/>
        <v>0</v>
      </c>
      <c r="K47" s="16">
        <f t="shared" si="20"/>
        <v>0</v>
      </c>
      <c r="L47" s="17">
        <f t="shared" si="17"/>
        <v>0</v>
      </c>
      <c r="M47" s="18">
        <f t="shared" si="18"/>
        <v>0</v>
      </c>
      <c r="N47" s="3">
        <f t="shared" si="2"/>
        <v>0</v>
      </c>
      <c r="O47" s="3">
        <f t="shared" si="3"/>
        <v>0</v>
      </c>
      <c r="P47" s="3">
        <f t="shared" si="4"/>
        <v>0</v>
      </c>
      <c r="Q47" s="3">
        <f t="shared" si="5"/>
        <v>0</v>
      </c>
      <c r="R47" s="3">
        <f t="shared" si="6"/>
        <v>0</v>
      </c>
      <c r="S47" s="3">
        <f t="shared" si="7"/>
        <v>0</v>
      </c>
      <c r="T47" s="3">
        <f t="shared" si="8"/>
        <v>0</v>
      </c>
      <c r="U47" s="4">
        <f t="shared" si="9"/>
        <v>0</v>
      </c>
      <c r="V47" s="4">
        <f t="shared" si="10"/>
        <v>0</v>
      </c>
      <c r="W47" s="4">
        <f t="shared" si="11"/>
        <v>0</v>
      </c>
      <c r="X47" s="4">
        <f t="shared" si="12"/>
        <v>0</v>
      </c>
      <c r="Y47" s="4">
        <f t="shared" si="13"/>
        <v>0</v>
      </c>
      <c r="Z47" s="4">
        <f t="shared" si="14"/>
        <v>0</v>
      </c>
      <c r="AA47" s="4">
        <f t="shared" si="15"/>
        <v>0</v>
      </c>
      <c r="AD47" s="5">
        <f t="shared" si="16"/>
        <v>0</v>
      </c>
    </row>
    <row r="48" spans="1:30" x14ac:dyDescent="0.3">
      <c r="A48" s="19"/>
      <c r="B48" s="14"/>
      <c r="C48" s="14"/>
      <c r="D48" s="14"/>
      <c r="E48" s="15"/>
      <c r="F48" s="12"/>
      <c r="G48" s="12"/>
      <c r="H48" s="12"/>
      <c r="I48" s="13"/>
      <c r="J48" s="16">
        <f t="shared" si="19"/>
        <v>0</v>
      </c>
      <c r="K48" s="16">
        <f t="shared" si="20"/>
        <v>0</v>
      </c>
      <c r="L48" s="17">
        <f t="shared" si="17"/>
        <v>0</v>
      </c>
      <c r="M48" s="18">
        <f t="shared" si="18"/>
        <v>0</v>
      </c>
      <c r="N48" s="3">
        <f t="shared" si="2"/>
        <v>0</v>
      </c>
      <c r="O48" s="3">
        <f t="shared" si="3"/>
        <v>0</v>
      </c>
      <c r="P48" s="3">
        <f t="shared" si="4"/>
        <v>0</v>
      </c>
      <c r="Q48" s="3">
        <f t="shared" si="5"/>
        <v>0</v>
      </c>
      <c r="R48" s="3">
        <f t="shared" si="6"/>
        <v>0</v>
      </c>
      <c r="S48" s="3">
        <f t="shared" si="7"/>
        <v>0</v>
      </c>
      <c r="T48" s="3">
        <f t="shared" si="8"/>
        <v>0</v>
      </c>
      <c r="U48" s="4">
        <f t="shared" si="9"/>
        <v>0</v>
      </c>
      <c r="V48" s="4">
        <f t="shared" si="10"/>
        <v>0</v>
      </c>
      <c r="W48" s="4">
        <f t="shared" si="11"/>
        <v>0</v>
      </c>
      <c r="X48" s="4">
        <f t="shared" si="12"/>
        <v>0</v>
      </c>
      <c r="Y48" s="4">
        <f t="shared" si="13"/>
        <v>0</v>
      </c>
      <c r="Z48" s="4">
        <f t="shared" si="14"/>
        <v>0</v>
      </c>
      <c r="AA48" s="4">
        <f t="shared" si="15"/>
        <v>0</v>
      </c>
      <c r="AD48" s="5">
        <f t="shared" si="16"/>
        <v>0</v>
      </c>
    </row>
    <row r="49" spans="1:30" x14ac:dyDescent="0.3">
      <c r="A49" s="11"/>
      <c r="B49" s="14"/>
      <c r="C49" s="14"/>
      <c r="D49" s="14"/>
      <c r="E49" s="15"/>
      <c r="F49" s="12"/>
      <c r="G49" s="12"/>
      <c r="H49" s="12"/>
      <c r="I49" s="13"/>
      <c r="J49" s="16">
        <f t="shared" si="19"/>
        <v>0</v>
      </c>
      <c r="K49" s="16">
        <f t="shared" si="20"/>
        <v>0</v>
      </c>
      <c r="L49" s="17">
        <f t="shared" si="17"/>
        <v>0</v>
      </c>
      <c r="M49" s="18">
        <f t="shared" si="18"/>
        <v>0</v>
      </c>
      <c r="N49" s="3">
        <f t="shared" si="2"/>
        <v>0</v>
      </c>
      <c r="O49" s="3">
        <f t="shared" si="3"/>
        <v>0</v>
      </c>
      <c r="P49" s="3">
        <f t="shared" si="4"/>
        <v>0</v>
      </c>
      <c r="Q49" s="3">
        <f t="shared" si="5"/>
        <v>0</v>
      </c>
      <c r="R49" s="3">
        <f t="shared" si="6"/>
        <v>0</v>
      </c>
      <c r="S49" s="3">
        <f t="shared" si="7"/>
        <v>0</v>
      </c>
      <c r="T49" s="3">
        <f t="shared" si="8"/>
        <v>0</v>
      </c>
      <c r="U49" s="4">
        <f t="shared" si="9"/>
        <v>0</v>
      </c>
      <c r="V49" s="4">
        <f t="shared" si="10"/>
        <v>0</v>
      </c>
      <c r="W49" s="4">
        <f t="shared" si="11"/>
        <v>0</v>
      </c>
      <c r="X49" s="4">
        <f t="shared" si="12"/>
        <v>0</v>
      </c>
      <c r="Y49" s="4">
        <f t="shared" si="13"/>
        <v>0</v>
      </c>
      <c r="Z49" s="4">
        <f t="shared" si="14"/>
        <v>0</v>
      </c>
      <c r="AA49" s="4">
        <f t="shared" si="15"/>
        <v>0</v>
      </c>
      <c r="AD49" s="5">
        <f t="shared" si="16"/>
        <v>0</v>
      </c>
    </row>
    <row r="50" spans="1:30" x14ac:dyDescent="0.3">
      <c r="A50" s="19"/>
      <c r="B50" s="14"/>
      <c r="C50" s="14"/>
      <c r="D50" s="14"/>
      <c r="E50" s="15"/>
      <c r="F50" s="12"/>
      <c r="G50" s="12"/>
      <c r="H50" s="12"/>
      <c r="I50" s="13"/>
      <c r="J50" s="16">
        <f t="shared" si="19"/>
        <v>0</v>
      </c>
      <c r="K50" s="16">
        <f t="shared" si="20"/>
        <v>0</v>
      </c>
      <c r="L50" s="17">
        <f t="shared" si="17"/>
        <v>0</v>
      </c>
      <c r="M50" s="18">
        <f t="shared" si="18"/>
        <v>0</v>
      </c>
      <c r="N50" s="3">
        <f t="shared" si="2"/>
        <v>0</v>
      </c>
      <c r="O50" s="3">
        <f t="shared" si="3"/>
        <v>0</v>
      </c>
      <c r="P50" s="3">
        <f t="shared" si="4"/>
        <v>0</v>
      </c>
      <c r="Q50" s="3">
        <f t="shared" si="5"/>
        <v>0</v>
      </c>
      <c r="R50" s="3">
        <f t="shared" si="6"/>
        <v>0</v>
      </c>
      <c r="S50" s="3">
        <f t="shared" si="7"/>
        <v>0</v>
      </c>
      <c r="T50" s="3">
        <f t="shared" si="8"/>
        <v>0</v>
      </c>
      <c r="U50" s="4">
        <f t="shared" si="9"/>
        <v>0</v>
      </c>
      <c r="V50" s="4">
        <f t="shared" si="10"/>
        <v>0</v>
      </c>
      <c r="W50" s="4">
        <f t="shared" si="11"/>
        <v>0</v>
      </c>
      <c r="X50" s="4">
        <f t="shared" si="12"/>
        <v>0</v>
      </c>
      <c r="Y50" s="4">
        <f t="shared" si="13"/>
        <v>0</v>
      </c>
      <c r="Z50" s="4">
        <f t="shared" si="14"/>
        <v>0</v>
      </c>
      <c r="AA50" s="4">
        <f t="shared" si="15"/>
        <v>0</v>
      </c>
      <c r="AD50" s="5">
        <f t="shared" si="16"/>
        <v>0</v>
      </c>
    </row>
    <row r="51" spans="1:30" x14ac:dyDescent="0.3">
      <c r="A51" s="11"/>
      <c r="B51" s="14"/>
      <c r="C51" s="14"/>
      <c r="D51" s="14"/>
      <c r="E51" s="15"/>
      <c r="F51" s="12"/>
      <c r="G51" s="12"/>
      <c r="H51" s="12"/>
      <c r="I51" s="13"/>
      <c r="J51" s="16">
        <f t="shared" si="19"/>
        <v>0</v>
      </c>
      <c r="K51" s="16">
        <f t="shared" si="20"/>
        <v>0</v>
      </c>
      <c r="L51" s="17">
        <f t="shared" si="17"/>
        <v>0</v>
      </c>
      <c r="M51" s="18">
        <f t="shared" si="18"/>
        <v>0</v>
      </c>
      <c r="N51" s="3">
        <f t="shared" si="2"/>
        <v>0</v>
      </c>
      <c r="O51" s="3">
        <f t="shared" si="3"/>
        <v>0</v>
      </c>
      <c r="P51" s="3">
        <f t="shared" si="4"/>
        <v>0</v>
      </c>
      <c r="Q51" s="3">
        <f t="shared" si="5"/>
        <v>0</v>
      </c>
      <c r="R51" s="3">
        <f t="shared" si="6"/>
        <v>0</v>
      </c>
      <c r="S51" s="3">
        <f t="shared" si="7"/>
        <v>0</v>
      </c>
      <c r="T51" s="3">
        <f t="shared" si="8"/>
        <v>0</v>
      </c>
      <c r="U51" s="4">
        <f t="shared" si="9"/>
        <v>0</v>
      </c>
      <c r="V51" s="4">
        <f t="shared" si="10"/>
        <v>0</v>
      </c>
      <c r="W51" s="4">
        <f t="shared" si="11"/>
        <v>0</v>
      </c>
      <c r="X51" s="4">
        <f t="shared" si="12"/>
        <v>0</v>
      </c>
      <c r="Y51" s="4">
        <f t="shared" si="13"/>
        <v>0</v>
      </c>
      <c r="Z51" s="4">
        <f t="shared" si="14"/>
        <v>0</v>
      </c>
      <c r="AA51" s="4">
        <f t="shared" si="15"/>
        <v>0</v>
      </c>
      <c r="AD51" s="5">
        <f t="shared" si="16"/>
        <v>0</v>
      </c>
    </row>
    <row r="52" spans="1:30" x14ac:dyDescent="0.3">
      <c r="A52" s="19"/>
      <c r="B52" s="14"/>
      <c r="C52" s="14"/>
      <c r="D52" s="14"/>
      <c r="E52" s="15"/>
      <c r="F52" s="12"/>
      <c r="G52" s="12"/>
      <c r="H52" s="12"/>
      <c r="I52" s="13"/>
      <c r="J52" s="16">
        <f t="shared" si="19"/>
        <v>0</v>
      </c>
      <c r="K52" s="16">
        <f t="shared" si="20"/>
        <v>0</v>
      </c>
      <c r="L52" s="17">
        <f t="shared" si="17"/>
        <v>0</v>
      </c>
      <c r="M52" s="18">
        <f t="shared" si="18"/>
        <v>0</v>
      </c>
      <c r="N52" s="3">
        <f t="shared" si="2"/>
        <v>0</v>
      </c>
      <c r="O52" s="3">
        <f t="shared" si="3"/>
        <v>0</v>
      </c>
      <c r="P52" s="3">
        <f t="shared" si="4"/>
        <v>0</v>
      </c>
      <c r="Q52" s="3">
        <f t="shared" si="5"/>
        <v>0</v>
      </c>
      <c r="R52" s="3">
        <f t="shared" si="6"/>
        <v>0</v>
      </c>
      <c r="S52" s="3">
        <f t="shared" si="7"/>
        <v>0</v>
      </c>
      <c r="T52" s="3">
        <f t="shared" si="8"/>
        <v>0</v>
      </c>
      <c r="U52" s="4">
        <f t="shared" si="9"/>
        <v>0</v>
      </c>
      <c r="V52" s="4">
        <f t="shared" si="10"/>
        <v>0</v>
      </c>
      <c r="W52" s="4">
        <f t="shared" si="11"/>
        <v>0</v>
      </c>
      <c r="X52" s="4">
        <f t="shared" si="12"/>
        <v>0</v>
      </c>
      <c r="Y52" s="4">
        <f t="shared" si="13"/>
        <v>0</v>
      </c>
      <c r="Z52" s="4">
        <f t="shared" si="14"/>
        <v>0</v>
      </c>
      <c r="AA52" s="4">
        <f t="shared" si="15"/>
        <v>0</v>
      </c>
      <c r="AD52" s="5">
        <f t="shared" si="16"/>
        <v>0</v>
      </c>
    </row>
    <row r="53" spans="1:30" x14ac:dyDescent="0.3">
      <c r="A53" s="11"/>
      <c r="B53" s="14"/>
      <c r="C53" s="14"/>
      <c r="D53" s="14"/>
      <c r="E53" s="15"/>
      <c r="F53" s="12"/>
      <c r="G53" s="12"/>
      <c r="H53" s="12"/>
      <c r="I53" s="13"/>
      <c r="J53" s="16">
        <f t="shared" si="19"/>
        <v>0</v>
      </c>
      <c r="K53" s="16">
        <f t="shared" si="20"/>
        <v>0</v>
      </c>
      <c r="L53" s="17">
        <f t="shared" si="17"/>
        <v>0</v>
      </c>
      <c r="M53" s="18">
        <f t="shared" si="18"/>
        <v>0</v>
      </c>
      <c r="N53" s="3">
        <f t="shared" si="2"/>
        <v>0</v>
      </c>
      <c r="O53" s="3">
        <f t="shared" si="3"/>
        <v>0</v>
      </c>
      <c r="P53" s="3">
        <f t="shared" si="4"/>
        <v>0</v>
      </c>
      <c r="Q53" s="3">
        <f t="shared" si="5"/>
        <v>0</v>
      </c>
      <c r="R53" s="3">
        <f t="shared" si="6"/>
        <v>0</v>
      </c>
      <c r="S53" s="3">
        <f t="shared" si="7"/>
        <v>0</v>
      </c>
      <c r="T53" s="3">
        <f t="shared" si="8"/>
        <v>0</v>
      </c>
      <c r="U53" s="4">
        <f t="shared" si="9"/>
        <v>0</v>
      </c>
      <c r="V53" s="4">
        <f t="shared" si="10"/>
        <v>0</v>
      </c>
      <c r="W53" s="4">
        <f t="shared" si="11"/>
        <v>0</v>
      </c>
      <c r="X53" s="4">
        <f t="shared" si="12"/>
        <v>0</v>
      </c>
      <c r="Y53" s="4">
        <f t="shared" si="13"/>
        <v>0</v>
      </c>
      <c r="Z53" s="4">
        <f t="shared" si="14"/>
        <v>0</v>
      </c>
      <c r="AA53" s="4">
        <f t="shared" si="15"/>
        <v>0</v>
      </c>
      <c r="AD53" s="5">
        <f t="shared" si="16"/>
        <v>0</v>
      </c>
    </row>
    <row r="54" spans="1:30" x14ac:dyDescent="0.3">
      <c r="A54" s="19"/>
      <c r="B54" s="14"/>
      <c r="C54" s="14"/>
      <c r="D54" s="14"/>
      <c r="E54" s="15"/>
      <c r="F54" s="12"/>
      <c r="G54" s="12"/>
      <c r="H54" s="12"/>
      <c r="I54" s="13"/>
      <c r="J54" s="16">
        <f t="shared" si="19"/>
        <v>0</v>
      </c>
      <c r="K54" s="16">
        <f t="shared" si="20"/>
        <v>0</v>
      </c>
      <c r="L54" s="17">
        <f t="shared" si="17"/>
        <v>0</v>
      </c>
      <c r="M54" s="18">
        <f t="shared" si="18"/>
        <v>0</v>
      </c>
      <c r="N54" s="3">
        <f t="shared" si="2"/>
        <v>0</v>
      </c>
      <c r="O54" s="3">
        <f t="shared" si="3"/>
        <v>0</v>
      </c>
      <c r="P54" s="3">
        <f t="shared" si="4"/>
        <v>0</v>
      </c>
      <c r="Q54" s="3">
        <f t="shared" si="5"/>
        <v>0</v>
      </c>
      <c r="R54" s="3">
        <f t="shared" si="6"/>
        <v>0</v>
      </c>
      <c r="S54" s="3">
        <f t="shared" si="7"/>
        <v>0</v>
      </c>
      <c r="T54" s="3">
        <f t="shared" si="8"/>
        <v>0</v>
      </c>
      <c r="U54" s="4">
        <f t="shared" si="9"/>
        <v>0</v>
      </c>
      <c r="V54" s="4">
        <f t="shared" si="10"/>
        <v>0</v>
      </c>
      <c r="W54" s="4">
        <f t="shared" si="11"/>
        <v>0</v>
      </c>
      <c r="X54" s="4">
        <f t="shared" si="12"/>
        <v>0</v>
      </c>
      <c r="Y54" s="4">
        <f t="shared" si="13"/>
        <v>0</v>
      </c>
      <c r="Z54" s="4">
        <f t="shared" si="14"/>
        <v>0</v>
      </c>
      <c r="AA54" s="4">
        <f t="shared" si="15"/>
        <v>0</v>
      </c>
    </row>
    <row r="55" spans="1:30" x14ac:dyDescent="0.3">
      <c r="A55" s="11"/>
      <c r="B55" s="14"/>
      <c r="C55" s="14"/>
      <c r="D55" s="14"/>
      <c r="E55" s="15"/>
      <c r="F55" s="12"/>
      <c r="G55" s="12"/>
      <c r="H55" s="12"/>
      <c r="I55" s="13"/>
      <c r="J55" s="16">
        <f t="shared" si="19"/>
        <v>0</v>
      </c>
      <c r="K55" s="16">
        <f t="shared" si="20"/>
        <v>0</v>
      </c>
      <c r="L55" s="17">
        <f t="shared" si="17"/>
        <v>0</v>
      </c>
      <c r="M55" s="18">
        <f t="shared" si="18"/>
        <v>0</v>
      </c>
      <c r="N55" s="3">
        <f t="shared" si="2"/>
        <v>0</v>
      </c>
      <c r="O55" s="3">
        <f t="shared" si="3"/>
        <v>0</v>
      </c>
      <c r="P55" s="3">
        <f t="shared" si="4"/>
        <v>0</v>
      </c>
      <c r="Q55" s="3">
        <f t="shared" si="5"/>
        <v>0</v>
      </c>
      <c r="R55" s="3">
        <f t="shared" si="6"/>
        <v>0</v>
      </c>
      <c r="S55" s="3">
        <f t="shared" si="7"/>
        <v>0</v>
      </c>
      <c r="T55" s="3">
        <f t="shared" si="8"/>
        <v>0</v>
      </c>
      <c r="U55" s="4">
        <f t="shared" si="9"/>
        <v>0</v>
      </c>
      <c r="V55" s="4">
        <f t="shared" si="10"/>
        <v>0</v>
      </c>
      <c r="W55" s="4">
        <f t="shared" si="11"/>
        <v>0</v>
      </c>
      <c r="X55" s="4">
        <f t="shared" si="12"/>
        <v>0</v>
      </c>
      <c r="Y55" s="4">
        <f t="shared" si="13"/>
        <v>0</v>
      </c>
      <c r="Z55" s="4">
        <f t="shared" si="14"/>
        <v>0</v>
      </c>
      <c r="AA55" s="4">
        <f t="shared" si="15"/>
        <v>0</v>
      </c>
    </row>
    <row r="56" spans="1:30" x14ac:dyDescent="0.3">
      <c r="A56" s="19"/>
      <c r="B56" s="14"/>
      <c r="C56" s="14"/>
      <c r="D56" s="14"/>
      <c r="E56" s="15"/>
      <c r="F56" s="12"/>
      <c r="G56" s="12"/>
      <c r="H56" s="12"/>
      <c r="I56" s="13"/>
      <c r="J56" s="16">
        <f t="shared" si="19"/>
        <v>0</v>
      </c>
      <c r="K56" s="16">
        <f t="shared" si="20"/>
        <v>0</v>
      </c>
      <c r="L56" s="17">
        <f t="shared" si="17"/>
        <v>0</v>
      </c>
      <c r="M56" s="18">
        <f t="shared" si="18"/>
        <v>0</v>
      </c>
      <c r="N56" s="3">
        <f t="shared" si="2"/>
        <v>0</v>
      </c>
      <c r="O56" s="3">
        <f t="shared" si="3"/>
        <v>0</v>
      </c>
      <c r="P56" s="3">
        <f t="shared" si="4"/>
        <v>0</v>
      </c>
      <c r="Q56" s="3">
        <f t="shared" si="5"/>
        <v>0</v>
      </c>
      <c r="R56" s="3">
        <f t="shared" si="6"/>
        <v>0</v>
      </c>
      <c r="S56" s="3">
        <f t="shared" si="7"/>
        <v>0</v>
      </c>
      <c r="T56" s="3">
        <f t="shared" si="8"/>
        <v>0</v>
      </c>
      <c r="U56" s="4">
        <f t="shared" si="9"/>
        <v>0</v>
      </c>
      <c r="V56" s="4">
        <f t="shared" si="10"/>
        <v>0</v>
      </c>
      <c r="W56" s="4">
        <f t="shared" si="11"/>
        <v>0</v>
      </c>
      <c r="X56" s="4">
        <f t="shared" si="12"/>
        <v>0</v>
      </c>
      <c r="Y56" s="4">
        <f t="shared" si="13"/>
        <v>0</v>
      </c>
      <c r="Z56" s="4">
        <f t="shared" si="14"/>
        <v>0</v>
      </c>
      <c r="AA56" s="4">
        <f t="shared" si="15"/>
        <v>0</v>
      </c>
    </row>
    <row r="57" spans="1:30" x14ac:dyDescent="0.3">
      <c r="A57" s="11"/>
      <c r="B57" s="14"/>
      <c r="C57" s="14"/>
      <c r="D57" s="14"/>
      <c r="E57" s="15"/>
      <c r="F57" s="12"/>
      <c r="G57" s="12"/>
      <c r="H57" s="12"/>
      <c r="I57" s="13"/>
      <c r="J57" s="16">
        <f t="shared" si="19"/>
        <v>0</v>
      </c>
      <c r="K57" s="16">
        <f t="shared" si="20"/>
        <v>0</v>
      </c>
      <c r="L57" s="17">
        <f t="shared" si="17"/>
        <v>0</v>
      </c>
      <c r="M57" s="18">
        <f t="shared" si="18"/>
        <v>0</v>
      </c>
      <c r="N57" s="3">
        <f t="shared" si="2"/>
        <v>0</v>
      </c>
      <c r="O57" s="3">
        <f t="shared" si="3"/>
        <v>0</v>
      </c>
      <c r="P57" s="3">
        <f t="shared" si="4"/>
        <v>0</v>
      </c>
      <c r="Q57" s="3">
        <f t="shared" si="5"/>
        <v>0</v>
      </c>
      <c r="R57" s="3">
        <f t="shared" si="6"/>
        <v>0</v>
      </c>
      <c r="S57" s="3">
        <f t="shared" si="7"/>
        <v>0</v>
      </c>
      <c r="T57" s="3">
        <f t="shared" si="8"/>
        <v>0</v>
      </c>
      <c r="U57" s="4">
        <f t="shared" si="9"/>
        <v>0</v>
      </c>
      <c r="V57" s="4">
        <f t="shared" si="10"/>
        <v>0</v>
      </c>
      <c r="W57" s="4">
        <f t="shared" si="11"/>
        <v>0</v>
      </c>
      <c r="X57" s="4">
        <f t="shared" si="12"/>
        <v>0</v>
      </c>
      <c r="Y57" s="4">
        <f t="shared" si="13"/>
        <v>0</v>
      </c>
      <c r="Z57" s="4">
        <f t="shared" si="14"/>
        <v>0</v>
      </c>
      <c r="AA57" s="4">
        <f t="shared" si="15"/>
        <v>0</v>
      </c>
    </row>
    <row r="58" spans="1:30" x14ac:dyDescent="0.3">
      <c r="A58" s="19"/>
      <c r="B58" s="14"/>
      <c r="C58" s="14"/>
      <c r="D58" s="14"/>
      <c r="E58" s="15"/>
      <c r="F58" s="12"/>
      <c r="G58" s="12"/>
      <c r="H58" s="12"/>
      <c r="I58" s="13"/>
      <c r="J58" s="16">
        <f t="shared" si="19"/>
        <v>0</v>
      </c>
      <c r="K58" s="16">
        <f t="shared" si="20"/>
        <v>0</v>
      </c>
      <c r="L58" s="17">
        <f t="shared" si="17"/>
        <v>0</v>
      </c>
      <c r="M58" s="18">
        <f t="shared" si="18"/>
        <v>0</v>
      </c>
      <c r="N58" s="3">
        <f t="shared" si="2"/>
        <v>0</v>
      </c>
      <c r="O58" s="3">
        <f t="shared" si="3"/>
        <v>0</v>
      </c>
      <c r="P58" s="3">
        <f t="shared" si="4"/>
        <v>0</v>
      </c>
      <c r="Q58" s="3">
        <f t="shared" si="5"/>
        <v>0</v>
      </c>
      <c r="R58" s="3">
        <f t="shared" si="6"/>
        <v>0</v>
      </c>
      <c r="S58" s="3">
        <f t="shared" si="7"/>
        <v>0</v>
      </c>
      <c r="T58" s="3">
        <f t="shared" si="8"/>
        <v>0</v>
      </c>
      <c r="U58" s="4">
        <f t="shared" si="9"/>
        <v>0</v>
      </c>
      <c r="V58" s="4">
        <f t="shared" si="10"/>
        <v>0</v>
      </c>
      <c r="W58" s="4">
        <f t="shared" si="11"/>
        <v>0</v>
      </c>
      <c r="X58" s="4">
        <f t="shared" si="12"/>
        <v>0</v>
      </c>
      <c r="Y58" s="4">
        <f t="shared" si="13"/>
        <v>0</v>
      </c>
      <c r="Z58" s="4">
        <f t="shared" si="14"/>
        <v>0</v>
      </c>
      <c r="AA58" s="4">
        <f t="shared" si="15"/>
        <v>0</v>
      </c>
    </row>
    <row r="59" spans="1:30" x14ac:dyDescent="0.3">
      <c r="A59" s="11"/>
      <c r="B59" s="14"/>
      <c r="C59" s="14"/>
      <c r="D59" s="14"/>
      <c r="E59" s="15"/>
      <c r="F59" s="12"/>
      <c r="G59" s="12"/>
      <c r="H59" s="12"/>
      <c r="I59" s="13"/>
      <c r="J59" s="16">
        <f t="shared" si="19"/>
        <v>0</v>
      </c>
      <c r="K59" s="16">
        <f t="shared" si="20"/>
        <v>0</v>
      </c>
      <c r="L59" s="17">
        <f t="shared" si="17"/>
        <v>0</v>
      </c>
      <c r="M59" s="18">
        <f t="shared" si="18"/>
        <v>0</v>
      </c>
      <c r="N59" s="3">
        <f t="shared" si="2"/>
        <v>0</v>
      </c>
      <c r="O59" s="3">
        <f t="shared" si="3"/>
        <v>0</v>
      </c>
      <c r="P59" s="3">
        <f t="shared" si="4"/>
        <v>0</v>
      </c>
      <c r="Q59" s="3">
        <f t="shared" si="5"/>
        <v>0</v>
      </c>
      <c r="R59" s="3">
        <f t="shared" si="6"/>
        <v>0</v>
      </c>
      <c r="S59" s="3">
        <f t="shared" si="7"/>
        <v>0</v>
      </c>
      <c r="T59" s="3">
        <f t="shared" si="8"/>
        <v>0</v>
      </c>
      <c r="U59" s="4">
        <f t="shared" si="9"/>
        <v>0</v>
      </c>
      <c r="V59" s="4">
        <f t="shared" si="10"/>
        <v>0</v>
      </c>
      <c r="W59" s="4">
        <f t="shared" si="11"/>
        <v>0</v>
      </c>
      <c r="X59" s="4">
        <f t="shared" si="12"/>
        <v>0</v>
      </c>
      <c r="Y59" s="4">
        <f t="shared" si="13"/>
        <v>0</v>
      </c>
      <c r="Z59" s="4">
        <f t="shared" si="14"/>
        <v>0</v>
      </c>
      <c r="AA59" s="4">
        <f t="shared" si="15"/>
        <v>0</v>
      </c>
    </row>
    <row r="60" spans="1:30" x14ac:dyDescent="0.3">
      <c r="A60" s="19"/>
      <c r="B60" s="14"/>
      <c r="C60" s="14"/>
      <c r="D60" s="14"/>
      <c r="E60" s="15"/>
      <c r="F60" s="12"/>
      <c r="G60" s="12"/>
      <c r="H60" s="12"/>
      <c r="I60" s="13"/>
      <c r="J60" s="16">
        <f t="shared" si="19"/>
        <v>0</v>
      </c>
      <c r="K60" s="16">
        <f t="shared" si="20"/>
        <v>0</v>
      </c>
      <c r="L60" s="17">
        <f t="shared" si="17"/>
        <v>0</v>
      </c>
      <c r="M60" s="18">
        <f t="shared" si="18"/>
        <v>0</v>
      </c>
      <c r="N60" s="3">
        <f t="shared" si="2"/>
        <v>0</v>
      </c>
      <c r="O60" s="3">
        <f t="shared" si="3"/>
        <v>0</v>
      </c>
      <c r="P60" s="3">
        <f t="shared" si="4"/>
        <v>0</v>
      </c>
      <c r="Q60" s="3">
        <f t="shared" si="5"/>
        <v>0</v>
      </c>
      <c r="R60" s="3">
        <f t="shared" si="6"/>
        <v>0</v>
      </c>
      <c r="S60" s="3">
        <f t="shared" si="7"/>
        <v>0</v>
      </c>
      <c r="T60" s="3">
        <f t="shared" si="8"/>
        <v>0</v>
      </c>
      <c r="U60" s="4">
        <f t="shared" si="9"/>
        <v>0</v>
      </c>
      <c r="V60" s="4">
        <f t="shared" si="10"/>
        <v>0</v>
      </c>
      <c r="W60" s="4">
        <f t="shared" si="11"/>
        <v>0</v>
      </c>
      <c r="X60" s="4">
        <f t="shared" si="12"/>
        <v>0</v>
      </c>
      <c r="Y60" s="4">
        <f t="shared" si="13"/>
        <v>0</v>
      </c>
      <c r="Z60" s="4">
        <f t="shared" si="14"/>
        <v>0</v>
      </c>
      <c r="AA60" s="4">
        <f t="shared" si="15"/>
        <v>0</v>
      </c>
    </row>
    <row r="61" spans="1:30" x14ac:dyDescent="0.3">
      <c r="A61" s="11"/>
      <c r="B61" s="14"/>
      <c r="C61" s="14"/>
      <c r="D61" s="14"/>
      <c r="E61" s="15"/>
      <c r="F61" s="12"/>
      <c r="G61" s="12"/>
      <c r="H61" s="12"/>
      <c r="I61" s="13"/>
      <c r="J61" s="16">
        <f t="shared" si="19"/>
        <v>0</v>
      </c>
      <c r="K61" s="16">
        <f t="shared" si="20"/>
        <v>0</v>
      </c>
      <c r="L61" s="17">
        <f t="shared" si="17"/>
        <v>0</v>
      </c>
      <c r="M61" s="18">
        <f t="shared" si="18"/>
        <v>0</v>
      </c>
      <c r="N61" s="3">
        <f t="shared" si="2"/>
        <v>0</v>
      </c>
      <c r="O61" s="3">
        <f t="shared" si="3"/>
        <v>0</v>
      </c>
      <c r="P61" s="3">
        <f t="shared" si="4"/>
        <v>0</v>
      </c>
      <c r="Q61" s="3">
        <f t="shared" si="5"/>
        <v>0</v>
      </c>
      <c r="R61" s="3">
        <f t="shared" si="6"/>
        <v>0</v>
      </c>
      <c r="S61" s="3">
        <f t="shared" si="7"/>
        <v>0</v>
      </c>
      <c r="T61" s="3">
        <f t="shared" si="8"/>
        <v>0</v>
      </c>
      <c r="U61" s="4">
        <f t="shared" si="9"/>
        <v>0</v>
      </c>
      <c r="V61" s="4">
        <f t="shared" si="10"/>
        <v>0</v>
      </c>
      <c r="W61" s="4">
        <f t="shared" si="11"/>
        <v>0</v>
      </c>
      <c r="X61" s="4">
        <f t="shared" si="12"/>
        <v>0</v>
      </c>
      <c r="Y61" s="4">
        <f t="shared" si="13"/>
        <v>0</v>
      </c>
      <c r="Z61" s="4">
        <f t="shared" si="14"/>
        <v>0</v>
      </c>
      <c r="AA61" s="4">
        <f t="shared" si="15"/>
        <v>0</v>
      </c>
    </row>
    <row r="62" spans="1:30" x14ac:dyDescent="0.3">
      <c r="A62" s="19"/>
      <c r="B62" s="14"/>
      <c r="C62" s="14"/>
      <c r="D62" s="14"/>
      <c r="E62" s="15"/>
      <c r="F62" s="12"/>
      <c r="G62" s="12"/>
      <c r="H62" s="12"/>
      <c r="I62" s="13"/>
      <c r="J62" s="16">
        <f t="shared" si="19"/>
        <v>0</v>
      </c>
      <c r="K62" s="16">
        <f t="shared" si="20"/>
        <v>0</v>
      </c>
      <c r="L62" s="17">
        <f t="shared" si="17"/>
        <v>0</v>
      </c>
      <c r="M62" s="18">
        <f t="shared" si="18"/>
        <v>0</v>
      </c>
      <c r="N62" s="3">
        <f t="shared" si="2"/>
        <v>0</v>
      </c>
      <c r="O62" s="3">
        <f t="shared" si="3"/>
        <v>0</v>
      </c>
      <c r="P62" s="3">
        <f t="shared" si="4"/>
        <v>0</v>
      </c>
      <c r="Q62" s="3">
        <f t="shared" si="5"/>
        <v>0</v>
      </c>
      <c r="R62" s="3">
        <f t="shared" si="6"/>
        <v>0</v>
      </c>
      <c r="S62" s="3">
        <f t="shared" si="7"/>
        <v>0</v>
      </c>
      <c r="T62" s="3">
        <f t="shared" si="8"/>
        <v>0</v>
      </c>
      <c r="U62" s="4">
        <f t="shared" si="9"/>
        <v>0</v>
      </c>
      <c r="V62" s="4">
        <f t="shared" si="10"/>
        <v>0</v>
      </c>
      <c r="W62" s="4">
        <f t="shared" si="11"/>
        <v>0</v>
      </c>
      <c r="X62" s="4">
        <f t="shared" si="12"/>
        <v>0</v>
      </c>
      <c r="Y62" s="4">
        <f t="shared" si="13"/>
        <v>0</v>
      </c>
      <c r="Z62" s="4">
        <f t="shared" si="14"/>
        <v>0</v>
      </c>
      <c r="AA62" s="4">
        <f t="shared" si="15"/>
        <v>0</v>
      </c>
    </row>
    <row r="63" spans="1:30" x14ac:dyDescent="0.3">
      <c r="A63" s="11"/>
      <c r="B63" s="14"/>
      <c r="C63" s="14"/>
      <c r="D63" s="14"/>
      <c r="E63" s="15"/>
      <c r="F63" s="12"/>
      <c r="G63" s="12"/>
      <c r="H63" s="12"/>
      <c r="I63" s="13"/>
      <c r="J63" s="16">
        <f t="shared" si="19"/>
        <v>0</v>
      </c>
      <c r="K63" s="16">
        <f t="shared" si="20"/>
        <v>0</v>
      </c>
      <c r="L63" s="17">
        <f t="shared" si="17"/>
        <v>0</v>
      </c>
      <c r="M63" s="18">
        <f t="shared" si="18"/>
        <v>0</v>
      </c>
      <c r="N63" s="3">
        <f t="shared" si="2"/>
        <v>0</v>
      </c>
      <c r="O63" s="3">
        <f t="shared" si="3"/>
        <v>0</v>
      </c>
      <c r="P63" s="3">
        <f t="shared" si="4"/>
        <v>0</v>
      </c>
      <c r="Q63" s="3">
        <f t="shared" si="5"/>
        <v>0</v>
      </c>
      <c r="R63" s="3">
        <f t="shared" si="6"/>
        <v>0</v>
      </c>
      <c r="S63" s="3">
        <f t="shared" si="7"/>
        <v>0</v>
      </c>
      <c r="T63" s="3">
        <f t="shared" si="8"/>
        <v>0</v>
      </c>
      <c r="U63" s="4">
        <f t="shared" si="9"/>
        <v>0</v>
      </c>
      <c r="V63" s="4">
        <f t="shared" si="10"/>
        <v>0</v>
      </c>
      <c r="W63" s="4">
        <f t="shared" si="11"/>
        <v>0</v>
      </c>
      <c r="X63" s="4">
        <f t="shared" si="12"/>
        <v>0</v>
      </c>
      <c r="Y63" s="4">
        <f t="shared" si="13"/>
        <v>0</v>
      </c>
      <c r="Z63" s="4">
        <f t="shared" si="14"/>
        <v>0</v>
      </c>
      <c r="AA63" s="4">
        <f t="shared" si="15"/>
        <v>0</v>
      </c>
    </row>
    <row r="64" spans="1:30" x14ac:dyDescent="0.3">
      <c r="A64" s="19"/>
      <c r="B64" s="14"/>
      <c r="C64" s="14"/>
      <c r="D64" s="14"/>
      <c r="E64" s="15"/>
      <c r="F64" s="12"/>
      <c r="G64" s="12"/>
      <c r="H64" s="12"/>
      <c r="I64" s="13"/>
      <c r="J64" s="16">
        <f t="shared" si="19"/>
        <v>0</v>
      </c>
      <c r="K64" s="16">
        <f t="shared" si="20"/>
        <v>0</v>
      </c>
      <c r="L64" s="17">
        <f t="shared" si="17"/>
        <v>0</v>
      </c>
      <c r="M64" s="18">
        <f t="shared" si="18"/>
        <v>0</v>
      </c>
      <c r="N64" s="3">
        <f t="shared" si="2"/>
        <v>0</v>
      </c>
      <c r="O64" s="3">
        <f t="shared" si="3"/>
        <v>0</v>
      </c>
      <c r="P64" s="3">
        <f t="shared" si="4"/>
        <v>0</v>
      </c>
      <c r="Q64" s="3">
        <f t="shared" si="5"/>
        <v>0</v>
      </c>
      <c r="R64" s="3">
        <f t="shared" si="6"/>
        <v>0</v>
      </c>
      <c r="S64" s="3">
        <f t="shared" si="7"/>
        <v>0</v>
      </c>
      <c r="T64" s="3">
        <f t="shared" si="8"/>
        <v>0</v>
      </c>
      <c r="U64" s="4">
        <f t="shared" si="9"/>
        <v>0</v>
      </c>
      <c r="V64" s="4">
        <f t="shared" si="10"/>
        <v>0</v>
      </c>
      <c r="W64" s="4">
        <f t="shared" si="11"/>
        <v>0</v>
      </c>
      <c r="X64" s="4">
        <f t="shared" si="12"/>
        <v>0</v>
      </c>
      <c r="Y64" s="4">
        <f t="shared" si="13"/>
        <v>0</v>
      </c>
      <c r="Z64" s="4">
        <f t="shared" si="14"/>
        <v>0</v>
      </c>
      <c r="AA64" s="4">
        <f t="shared" si="15"/>
        <v>0</v>
      </c>
    </row>
    <row r="65" spans="1:28" x14ac:dyDescent="0.3">
      <c r="A65" s="11"/>
      <c r="B65" s="14"/>
      <c r="C65" s="14"/>
      <c r="D65" s="14"/>
      <c r="E65" s="15"/>
      <c r="F65" s="12"/>
      <c r="G65" s="12"/>
      <c r="H65" s="12"/>
      <c r="I65" s="13"/>
      <c r="J65" s="16">
        <f t="shared" si="19"/>
        <v>0</v>
      </c>
      <c r="K65" s="16">
        <f t="shared" si="20"/>
        <v>0</v>
      </c>
      <c r="L65" s="17">
        <f t="shared" si="17"/>
        <v>0</v>
      </c>
      <c r="M65" s="18">
        <f t="shared" si="18"/>
        <v>0</v>
      </c>
      <c r="N65" s="3">
        <f t="shared" si="2"/>
        <v>0</v>
      </c>
      <c r="O65" s="3">
        <f t="shared" si="3"/>
        <v>0</v>
      </c>
      <c r="P65" s="3">
        <f t="shared" si="4"/>
        <v>0</v>
      </c>
      <c r="Q65" s="3">
        <f t="shared" si="5"/>
        <v>0</v>
      </c>
      <c r="R65" s="3">
        <f t="shared" si="6"/>
        <v>0</v>
      </c>
      <c r="S65" s="3">
        <f t="shared" si="7"/>
        <v>0</v>
      </c>
      <c r="T65" s="3">
        <f t="shared" si="8"/>
        <v>0</v>
      </c>
      <c r="U65" s="4">
        <f t="shared" si="9"/>
        <v>0</v>
      </c>
      <c r="V65" s="4">
        <f t="shared" si="10"/>
        <v>0</v>
      </c>
      <c r="W65" s="4">
        <f t="shared" si="11"/>
        <v>0</v>
      </c>
      <c r="X65" s="4">
        <f t="shared" si="12"/>
        <v>0</v>
      </c>
      <c r="Y65" s="4">
        <f t="shared" si="13"/>
        <v>0</v>
      </c>
      <c r="Z65" s="4">
        <f t="shared" si="14"/>
        <v>0</v>
      </c>
      <c r="AA65" s="4">
        <f t="shared" si="15"/>
        <v>0</v>
      </c>
    </row>
    <row r="66" spans="1:28" x14ac:dyDescent="0.3">
      <c r="A66" s="19"/>
      <c r="B66" s="14"/>
      <c r="C66" s="14"/>
      <c r="D66" s="14"/>
      <c r="E66" s="15"/>
      <c r="F66" s="12"/>
      <c r="G66" s="12"/>
      <c r="H66" s="12"/>
      <c r="I66" s="13"/>
      <c r="J66" s="16">
        <f t="shared" si="19"/>
        <v>0</v>
      </c>
      <c r="K66" s="16">
        <f t="shared" si="20"/>
        <v>0</v>
      </c>
      <c r="L66" s="17">
        <f t="shared" si="17"/>
        <v>0</v>
      </c>
      <c r="M66" s="18">
        <f t="shared" si="18"/>
        <v>0</v>
      </c>
      <c r="N66" s="3">
        <f t="shared" si="2"/>
        <v>0</v>
      </c>
      <c r="O66" s="3">
        <f t="shared" si="3"/>
        <v>0</v>
      </c>
      <c r="P66" s="3">
        <f t="shared" si="4"/>
        <v>0</v>
      </c>
      <c r="Q66" s="3">
        <f t="shared" si="5"/>
        <v>0</v>
      </c>
      <c r="R66" s="3">
        <f t="shared" si="6"/>
        <v>0</v>
      </c>
      <c r="S66" s="3">
        <f t="shared" si="7"/>
        <v>0</v>
      </c>
      <c r="T66" s="3">
        <f t="shared" si="8"/>
        <v>0</v>
      </c>
      <c r="U66" s="4">
        <f t="shared" si="9"/>
        <v>0</v>
      </c>
      <c r="V66" s="4">
        <f t="shared" si="10"/>
        <v>0</v>
      </c>
      <c r="W66" s="4">
        <f t="shared" si="11"/>
        <v>0</v>
      </c>
      <c r="X66" s="4">
        <f t="shared" si="12"/>
        <v>0</v>
      </c>
      <c r="Y66" s="4">
        <f t="shared" si="13"/>
        <v>0</v>
      </c>
      <c r="Z66" s="4">
        <f t="shared" si="14"/>
        <v>0</v>
      </c>
      <c r="AA66" s="4">
        <f t="shared" si="15"/>
        <v>0</v>
      </c>
    </row>
    <row r="67" spans="1:28" x14ac:dyDescent="0.3">
      <c r="A67" s="11"/>
      <c r="B67" s="14"/>
      <c r="C67" s="14"/>
      <c r="D67" s="14"/>
      <c r="E67" s="15"/>
      <c r="F67" s="12"/>
      <c r="G67" s="12"/>
      <c r="H67" s="12"/>
      <c r="I67" s="13"/>
      <c r="J67" s="16">
        <f t="shared" si="19"/>
        <v>0</v>
      </c>
      <c r="K67" s="16">
        <f t="shared" si="20"/>
        <v>0</v>
      </c>
      <c r="L67" s="17">
        <f t="shared" si="17"/>
        <v>0</v>
      </c>
      <c r="M67" s="18">
        <f t="shared" si="18"/>
        <v>0</v>
      </c>
      <c r="N67" s="3">
        <f t="shared" ref="N67:N73" si="23">(C67+D67+E67)/3</f>
        <v>0</v>
      </c>
      <c r="O67" s="3">
        <f t="shared" ref="O67:O73" si="24">(C67+D67)/2</f>
        <v>0</v>
      </c>
      <c r="P67" s="3">
        <f t="shared" ref="P67:P73" si="25">(N67-O67)+N67</f>
        <v>0</v>
      </c>
      <c r="Q67" s="3">
        <f t="shared" ref="Q67:Q73" si="26">2*N67-D67</f>
        <v>0</v>
      </c>
      <c r="R67" s="3">
        <f t="shared" ref="R67:R73" si="27">N67+(C67-D67)</f>
        <v>0</v>
      </c>
      <c r="S67" s="3">
        <f t="shared" ref="S67:S73" si="28">(2*N67)-C67</f>
        <v>0</v>
      </c>
      <c r="T67" s="3">
        <f t="shared" ref="T67:T73" si="29">N67-(C67-D67)</f>
        <v>0</v>
      </c>
      <c r="U67" s="4">
        <f t="shared" ref="U67:U73" si="30">(G67+H67+I67)/3</f>
        <v>0</v>
      </c>
      <c r="V67" s="4">
        <f t="shared" ref="V67:V73" si="31">(G67+H67)/2</f>
        <v>0</v>
      </c>
      <c r="W67" s="4">
        <f t="shared" ref="W67:W73" si="32">(U67-V67)+U67</f>
        <v>0</v>
      </c>
      <c r="X67" s="4">
        <f t="shared" ref="X67:X73" si="33">2*U67-H67</f>
        <v>0</v>
      </c>
      <c r="Y67" s="4">
        <f t="shared" ref="Y67:Y73" si="34">U67+(G67-H67)</f>
        <v>0</v>
      </c>
      <c r="Z67" s="4">
        <f t="shared" ref="Z67:Z73" si="35">(2*U67)-G67</f>
        <v>0</v>
      </c>
      <c r="AA67" s="4">
        <f t="shared" ref="AA67:AA73" si="36">U67-(G67-H67)</f>
        <v>0</v>
      </c>
    </row>
    <row r="68" spans="1:28" x14ac:dyDescent="0.3">
      <c r="A68" s="19"/>
      <c r="B68" s="14"/>
      <c r="C68" s="14"/>
      <c r="D68" s="14"/>
      <c r="E68" s="15"/>
      <c r="F68" s="12"/>
      <c r="G68" s="12"/>
      <c r="H68" s="12"/>
      <c r="I68" s="13"/>
      <c r="J68" s="16">
        <f t="shared" si="19"/>
        <v>0</v>
      </c>
      <c r="K68" s="16">
        <f t="shared" si="20"/>
        <v>0</v>
      </c>
      <c r="L68" s="17">
        <f t="shared" si="17"/>
        <v>0</v>
      </c>
      <c r="M68" s="18">
        <f t="shared" si="18"/>
        <v>0</v>
      </c>
      <c r="N68" s="3">
        <f t="shared" si="23"/>
        <v>0</v>
      </c>
      <c r="O68" s="3">
        <f t="shared" si="24"/>
        <v>0</v>
      </c>
      <c r="P68" s="3">
        <f t="shared" si="25"/>
        <v>0</v>
      </c>
      <c r="Q68" s="3">
        <f t="shared" si="26"/>
        <v>0</v>
      </c>
      <c r="R68" s="3">
        <f t="shared" si="27"/>
        <v>0</v>
      </c>
      <c r="S68" s="3">
        <f t="shared" si="28"/>
        <v>0</v>
      </c>
      <c r="T68" s="3">
        <f t="shared" si="29"/>
        <v>0</v>
      </c>
      <c r="U68" s="4">
        <f t="shared" si="30"/>
        <v>0</v>
      </c>
      <c r="V68" s="4">
        <f t="shared" si="31"/>
        <v>0</v>
      </c>
      <c r="W68" s="4">
        <f t="shared" si="32"/>
        <v>0</v>
      </c>
      <c r="X68" s="4">
        <f t="shared" si="33"/>
        <v>0</v>
      </c>
      <c r="Y68" s="4">
        <f t="shared" si="34"/>
        <v>0</v>
      </c>
      <c r="Z68" s="4">
        <f t="shared" si="35"/>
        <v>0</v>
      </c>
      <c r="AA68" s="4">
        <f t="shared" si="36"/>
        <v>0</v>
      </c>
    </row>
    <row r="69" spans="1:28" x14ac:dyDescent="0.3">
      <c r="A69" s="11"/>
      <c r="B69" s="14"/>
      <c r="C69" s="14"/>
      <c r="D69" s="14"/>
      <c r="E69" s="15"/>
      <c r="F69" s="12"/>
      <c r="G69" s="12"/>
      <c r="H69" s="12"/>
      <c r="I69" s="13"/>
      <c r="J69" s="16">
        <f t="shared" si="19"/>
        <v>0</v>
      </c>
      <c r="K69" s="16"/>
      <c r="L69" s="17">
        <f t="shared" ref="L69:L73" si="37">A69+E69</f>
        <v>0</v>
      </c>
      <c r="M69" s="18">
        <f t="shared" ref="M69:M73" si="38">A69-I69</f>
        <v>0</v>
      </c>
      <c r="N69" s="3">
        <f t="shared" si="23"/>
        <v>0</v>
      </c>
      <c r="O69" s="3">
        <f t="shared" si="24"/>
        <v>0</v>
      </c>
      <c r="P69" s="3">
        <f t="shared" si="25"/>
        <v>0</v>
      </c>
      <c r="Q69" s="3">
        <f t="shared" si="26"/>
        <v>0</v>
      </c>
      <c r="R69" s="3">
        <f t="shared" si="27"/>
        <v>0</v>
      </c>
      <c r="S69" s="3">
        <f t="shared" si="28"/>
        <v>0</v>
      </c>
      <c r="T69" s="3">
        <f t="shared" si="29"/>
        <v>0</v>
      </c>
      <c r="U69" s="4">
        <f t="shared" si="30"/>
        <v>0</v>
      </c>
      <c r="V69" s="4">
        <f t="shared" si="31"/>
        <v>0</v>
      </c>
      <c r="W69" s="4">
        <f t="shared" si="32"/>
        <v>0</v>
      </c>
      <c r="X69" s="4">
        <f t="shared" si="33"/>
        <v>0</v>
      </c>
      <c r="Y69" s="4">
        <f t="shared" si="34"/>
        <v>0</v>
      </c>
      <c r="Z69" s="4">
        <f t="shared" si="35"/>
        <v>0</v>
      </c>
      <c r="AA69" s="4">
        <f t="shared" si="36"/>
        <v>0</v>
      </c>
    </row>
    <row r="70" spans="1:28" x14ac:dyDescent="0.3">
      <c r="A70" s="19"/>
      <c r="B70" s="14"/>
      <c r="C70" s="14"/>
      <c r="D70" s="14"/>
      <c r="E70" s="15"/>
      <c r="F70" s="12"/>
      <c r="G70" s="12"/>
      <c r="H70" s="12"/>
      <c r="I70" s="13"/>
      <c r="J70" s="16">
        <f t="shared" si="19"/>
        <v>0</v>
      </c>
      <c r="K70" s="16"/>
      <c r="L70" s="17">
        <f t="shared" si="37"/>
        <v>0</v>
      </c>
      <c r="M70" s="18">
        <f t="shared" si="38"/>
        <v>0</v>
      </c>
      <c r="N70" s="3">
        <f t="shared" si="23"/>
        <v>0</v>
      </c>
      <c r="O70" s="3">
        <f t="shared" si="24"/>
        <v>0</v>
      </c>
      <c r="P70" s="3">
        <f t="shared" si="25"/>
        <v>0</v>
      </c>
      <c r="Q70" s="3">
        <f t="shared" si="26"/>
        <v>0</v>
      </c>
      <c r="R70" s="3">
        <f t="shared" si="27"/>
        <v>0</v>
      </c>
      <c r="S70" s="3">
        <f t="shared" si="28"/>
        <v>0</v>
      </c>
      <c r="T70" s="3">
        <f t="shared" si="29"/>
        <v>0</v>
      </c>
      <c r="U70" s="4">
        <f t="shared" si="30"/>
        <v>0</v>
      </c>
      <c r="V70" s="4">
        <f t="shared" si="31"/>
        <v>0</v>
      </c>
      <c r="W70" s="4">
        <f t="shared" si="32"/>
        <v>0</v>
      </c>
      <c r="X70" s="4">
        <f t="shared" si="33"/>
        <v>0</v>
      </c>
      <c r="Y70" s="4">
        <f t="shared" si="34"/>
        <v>0</v>
      </c>
      <c r="Z70" s="4">
        <f t="shared" si="35"/>
        <v>0</v>
      </c>
      <c r="AA70" s="4">
        <f t="shared" si="36"/>
        <v>0</v>
      </c>
    </row>
    <row r="71" spans="1:28" x14ac:dyDescent="0.3">
      <c r="A71" s="11"/>
      <c r="B71" s="14"/>
      <c r="C71" s="14"/>
      <c r="D71" s="14"/>
      <c r="E71" s="15"/>
      <c r="F71" s="12"/>
      <c r="G71" s="12"/>
      <c r="H71" s="12"/>
      <c r="I71" s="13"/>
      <c r="J71" s="16">
        <f t="shared" si="19"/>
        <v>0</v>
      </c>
      <c r="K71" s="16"/>
      <c r="L71" s="17">
        <f t="shared" si="37"/>
        <v>0</v>
      </c>
      <c r="M71" s="18">
        <f t="shared" si="38"/>
        <v>0</v>
      </c>
      <c r="N71" s="3">
        <f t="shared" si="23"/>
        <v>0</v>
      </c>
      <c r="O71" s="3">
        <f t="shared" si="24"/>
        <v>0</v>
      </c>
      <c r="P71" s="3">
        <f t="shared" si="25"/>
        <v>0</v>
      </c>
      <c r="Q71" s="3">
        <f t="shared" si="26"/>
        <v>0</v>
      </c>
      <c r="R71" s="3">
        <f t="shared" si="27"/>
        <v>0</v>
      </c>
      <c r="S71" s="3">
        <f t="shared" si="28"/>
        <v>0</v>
      </c>
      <c r="T71" s="3">
        <f t="shared" si="29"/>
        <v>0</v>
      </c>
      <c r="U71" s="4">
        <f t="shared" si="30"/>
        <v>0</v>
      </c>
      <c r="V71" s="4">
        <f t="shared" si="31"/>
        <v>0</v>
      </c>
      <c r="W71" s="4">
        <f t="shared" si="32"/>
        <v>0</v>
      </c>
      <c r="X71" s="4">
        <f t="shared" si="33"/>
        <v>0</v>
      </c>
      <c r="Y71" s="4">
        <f t="shared" si="34"/>
        <v>0</v>
      </c>
      <c r="Z71" s="4">
        <f t="shared" si="35"/>
        <v>0</v>
      </c>
      <c r="AA71" s="4">
        <f t="shared" si="36"/>
        <v>0</v>
      </c>
    </row>
    <row r="72" spans="1:28" x14ac:dyDescent="0.3">
      <c r="A72" s="19"/>
      <c r="B72" s="14"/>
      <c r="C72" s="14"/>
      <c r="D72" s="14"/>
      <c r="E72" s="15"/>
      <c r="F72" s="12"/>
      <c r="G72" s="12"/>
      <c r="H72" s="12"/>
      <c r="I72" s="13"/>
      <c r="J72" s="16">
        <f t="shared" si="19"/>
        <v>0</v>
      </c>
      <c r="K72" s="16"/>
      <c r="L72" s="17">
        <f t="shared" si="37"/>
        <v>0</v>
      </c>
      <c r="M72" s="18">
        <f t="shared" si="38"/>
        <v>0</v>
      </c>
      <c r="N72" s="3">
        <f t="shared" si="23"/>
        <v>0</v>
      </c>
      <c r="O72" s="3">
        <f t="shared" si="24"/>
        <v>0</v>
      </c>
      <c r="P72" s="3">
        <f t="shared" si="25"/>
        <v>0</v>
      </c>
      <c r="Q72" s="3">
        <f t="shared" si="26"/>
        <v>0</v>
      </c>
      <c r="R72" s="3">
        <f t="shared" si="27"/>
        <v>0</v>
      </c>
      <c r="S72" s="3">
        <f t="shared" si="28"/>
        <v>0</v>
      </c>
      <c r="T72" s="3">
        <f t="shared" si="29"/>
        <v>0</v>
      </c>
      <c r="U72" s="4">
        <f t="shared" si="30"/>
        <v>0</v>
      </c>
      <c r="V72" s="4">
        <f t="shared" si="31"/>
        <v>0</v>
      </c>
      <c r="W72" s="4">
        <f t="shared" si="32"/>
        <v>0</v>
      </c>
      <c r="X72" s="4">
        <f t="shared" si="33"/>
        <v>0</v>
      </c>
      <c r="Y72" s="4">
        <f t="shared" si="34"/>
        <v>0</v>
      </c>
      <c r="Z72" s="4">
        <f t="shared" si="35"/>
        <v>0</v>
      </c>
      <c r="AA72" s="4">
        <f t="shared" si="36"/>
        <v>0</v>
      </c>
    </row>
    <row r="73" spans="1:28" x14ac:dyDescent="0.3">
      <c r="A73" s="11"/>
      <c r="B73" s="14"/>
      <c r="C73" s="14"/>
      <c r="D73" s="14"/>
      <c r="E73" s="15"/>
      <c r="F73" s="12"/>
      <c r="G73" s="12"/>
      <c r="H73" s="12"/>
      <c r="I73" s="13"/>
      <c r="J73" s="16">
        <f t="shared" si="19"/>
        <v>0</v>
      </c>
      <c r="K73" s="16"/>
      <c r="L73" s="17">
        <f t="shared" si="37"/>
        <v>0</v>
      </c>
      <c r="M73" s="18">
        <f t="shared" si="38"/>
        <v>0</v>
      </c>
      <c r="N73" s="3">
        <f t="shared" si="23"/>
        <v>0</v>
      </c>
      <c r="O73" s="3">
        <f t="shared" si="24"/>
        <v>0</v>
      </c>
      <c r="P73" s="3">
        <f t="shared" si="25"/>
        <v>0</v>
      </c>
      <c r="Q73" s="3">
        <f t="shared" si="26"/>
        <v>0</v>
      </c>
      <c r="R73" s="3">
        <f t="shared" si="27"/>
        <v>0</v>
      </c>
      <c r="S73" s="3">
        <f t="shared" si="28"/>
        <v>0</v>
      </c>
      <c r="T73" s="3">
        <f t="shared" si="29"/>
        <v>0</v>
      </c>
      <c r="U73" s="4">
        <f t="shared" si="30"/>
        <v>0</v>
      </c>
      <c r="V73" s="4">
        <f t="shared" si="31"/>
        <v>0</v>
      </c>
      <c r="W73" s="4">
        <f t="shared" si="32"/>
        <v>0</v>
      </c>
      <c r="X73" s="4">
        <f t="shared" si="33"/>
        <v>0</v>
      </c>
      <c r="Y73" s="4">
        <f t="shared" si="34"/>
        <v>0</v>
      </c>
      <c r="Z73" s="4">
        <f t="shared" si="35"/>
        <v>0</v>
      </c>
      <c r="AA73" s="4">
        <f t="shared" si="36"/>
        <v>0</v>
      </c>
    </row>
    <row r="74" spans="1:28" x14ac:dyDescent="0.3">
      <c r="A74" s="11"/>
      <c r="B74" s="14"/>
      <c r="C74" s="14"/>
      <c r="D74" s="14"/>
      <c r="E74" s="15"/>
      <c r="F74" s="12"/>
      <c r="G74" s="12"/>
      <c r="H74" s="12"/>
      <c r="I74" s="13"/>
      <c r="J74" s="16"/>
      <c r="K74" s="16"/>
      <c r="L74" s="17"/>
      <c r="M74" s="18"/>
      <c r="N74" s="3"/>
      <c r="O74" s="3"/>
      <c r="P74" s="3"/>
      <c r="Q74" s="3"/>
      <c r="R74" s="3"/>
      <c r="S74" s="3"/>
      <c r="T74" s="3"/>
      <c r="U74" s="4"/>
      <c r="V74" s="4"/>
      <c r="W74" s="4"/>
      <c r="X74" s="4"/>
      <c r="Y74" s="4"/>
      <c r="Z74" s="4"/>
      <c r="AA74" s="4"/>
    </row>
    <row r="75" spans="1:28" x14ac:dyDescent="0.3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8" x14ac:dyDescent="0.3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8" x14ac:dyDescent="0.3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8" ht="17.399999999999999" customHeight="1" x14ac:dyDescent="0.3">
      <c r="A78" s="20"/>
      <c r="B78" s="20" t="s">
        <v>37</v>
      </c>
      <c r="C78" s="20" t="s">
        <v>38</v>
      </c>
      <c r="D78" s="20" t="s">
        <v>39</v>
      </c>
      <c r="E78" s="21"/>
      <c r="F78" s="20" t="s">
        <v>40</v>
      </c>
      <c r="G78" s="5"/>
      <c r="H78" s="78" t="s">
        <v>41</v>
      </c>
      <c r="I78" s="79"/>
      <c r="J78" s="79"/>
      <c r="K78" s="79"/>
      <c r="L78" s="80"/>
      <c r="AB78" s="22"/>
    </row>
    <row r="79" spans="1:28" ht="18" customHeight="1" x14ac:dyDescent="0.35">
      <c r="A79" s="50" t="s">
        <v>42</v>
      </c>
      <c r="B79" s="24"/>
      <c r="C79" s="25"/>
      <c r="D79" s="25"/>
      <c r="E79" s="5"/>
      <c r="F79" s="25"/>
      <c r="G79" s="5"/>
      <c r="H79" s="26" t="s">
        <v>43</v>
      </c>
      <c r="I79" s="26" t="s">
        <v>44</v>
      </c>
      <c r="J79" s="26" t="s">
        <v>45</v>
      </c>
      <c r="K79" s="26" t="s">
        <v>46</v>
      </c>
      <c r="L79" s="65"/>
      <c r="AB79" s="22"/>
    </row>
    <row r="80" spans="1:28" ht="18" customHeight="1" x14ac:dyDescent="0.35">
      <c r="A80" s="23" t="s">
        <v>24</v>
      </c>
      <c r="B80" s="29">
        <f>(B79+C79+D79)/3</f>
        <v>0</v>
      </c>
      <c r="C80" s="29">
        <f>(B79+C79)/2</f>
        <v>0</v>
      </c>
      <c r="D80" s="29">
        <f>(B80-C80)+B80</f>
        <v>0</v>
      </c>
      <c r="E80" s="5"/>
      <c r="F80" s="5"/>
      <c r="G80" s="5"/>
      <c r="H80" s="26"/>
      <c r="I80" s="27"/>
      <c r="J80" s="30"/>
      <c r="K80" s="30"/>
      <c r="L80" s="66"/>
      <c r="O80" s="73" t="s">
        <v>47</v>
      </c>
      <c r="P80" s="72"/>
      <c r="AB80" s="22"/>
    </row>
    <row r="81" spans="1:28" ht="18" customHeight="1" x14ac:dyDescent="0.35">
      <c r="A81" s="23" t="s">
        <v>17</v>
      </c>
      <c r="B81" s="33">
        <f>2*B80-C79</f>
        <v>0</v>
      </c>
      <c r="C81" s="23" t="s">
        <v>19</v>
      </c>
      <c r="D81" s="23">
        <f>2*B80-B79</f>
        <v>0</v>
      </c>
      <c r="E81" s="5"/>
      <c r="F81" s="5"/>
      <c r="G81" s="5"/>
      <c r="H81" s="26"/>
      <c r="I81" s="27"/>
      <c r="J81" s="30"/>
      <c r="K81" s="30"/>
      <c r="L81" s="66"/>
      <c r="O81" s="28" t="s">
        <v>0</v>
      </c>
      <c r="P81" s="28">
        <v>25450</v>
      </c>
      <c r="AB81" s="22"/>
    </row>
    <row r="82" spans="1:28" ht="18" customHeight="1" x14ac:dyDescent="0.35">
      <c r="A82" s="23" t="s">
        <v>18</v>
      </c>
      <c r="B82" s="33">
        <f>B80+(B79-C79)</f>
        <v>0</v>
      </c>
      <c r="C82" s="23" t="s">
        <v>20</v>
      </c>
      <c r="D82" s="23">
        <f>B80-(B79-C79)</f>
        <v>0</v>
      </c>
      <c r="E82" s="5"/>
      <c r="F82" s="5"/>
      <c r="G82" s="5"/>
      <c r="H82" s="26"/>
      <c r="I82" s="27"/>
      <c r="J82" s="36"/>
      <c r="K82" s="36"/>
      <c r="L82" s="67"/>
      <c r="O82" s="31" t="s">
        <v>25</v>
      </c>
      <c r="P82" s="32">
        <v>190.05</v>
      </c>
      <c r="AB82" s="22"/>
    </row>
    <row r="83" spans="1:28" ht="18" customHeight="1" x14ac:dyDescent="0.35">
      <c r="A83" s="23" t="s">
        <v>28</v>
      </c>
      <c r="B83" s="33">
        <f>B81+(B79-C79)</f>
        <v>0</v>
      </c>
      <c r="C83" s="23" t="s">
        <v>48</v>
      </c>
      <c r="D83" s="23">
        <f>D81-(B79-C79)</f>
        <v>0</v>
      </c>
      <c r="E83" s="5"/>
      <c r="F83" s="5"/>
      <c r="G83" s="5"/>
      <c r="H83" s="26"/>
      <c r="I83" s="27"/>
      <c r="J83" s="30"/>
      <c r="K83" s="30"/>
      <c r="L83" s="66"/>
      <c r="O83" s="34" t="s">
        <v>26</v>
      </c>
      <c r="P83" s="35">
        <v>170.25</v>
      </c>
      <c r="AB83" s="22"/>
    </row>
    <row r="84" spans="1:28" ht="18" customHeight="1" x14ac:dyDescent="0.35">
      <c r="A84" s="23" t="s">
        <v>30</v>
      </c>
      <c r="B84" s="33">
        <f>B83+(B82-B81)</f>
        <v>0</v>
      </c>
      <c r="C84" s="23" t="s">
        <v>49</v>
      </c>
      <c r="D84" s="38">
        <f>D83-(D81-D82)</f>
        <v>0</v>
      </c>
      <c r="E84" s="39"/>
      <c r="F84" s="39"/>
      <c r="G84" s="5"/>
      <c r="H84" s="26"/>
      <c r="I84" s="27"/>
      <c r="J84" s="30"/>
      <c r="K84" s="30"/>
      <c r="L84" s="66"/>
      <c r="O84" s="31" t="s">
        <v>27</v>
      </c>
      <c r="P84" s="37">
        <v>25640.05</v>
      </c>
      <c r="AB84" s="22"/>
    </row>
    <row r="85" spans="1:28" ht="15.6" customHeight="1" x14ac:dyDescent="0.3">
      <c r="A85" s="22"/>
      <c r="D85" s="39"/>
      <c r="E85" s="39"/>
      <c r="F85" s="26"/>
      <c r="G85" s="26"/>
      <c r="H85" s="26"/>
      <c r="I85" s="27"/>
      <c r="J85" s="30"/>
      <c r="K85" s="30"/>
      <c r="L85" s="66"/>
      <c r="N85" s="26"/>
      <c r="O85" s="31" t="s">
        <v>29</v>
      </c>
      <c r="P85" s="37">
        <v>25810.3</v>
      </c>
      <c r="Q85" s="26"/>
      <c r="R85" s="26"/>
      <c r="S85" s="26"/>
      <c r="T85" s="26"/>
      <c r="U85" s="26"/>
      <c r="V85" s="26"/>
      <c r="AB85" s="22"/>
    </row>
    <row r="86" spans="1:28" x14ac:dyDescent="0.3">
      <c r="A86" s="41" t="s">
        <v>33</v>
      </c>
      <c r="B86" s="5"/>
      <c r="C86" s="22" t="str">
        <f>IF(B86&lt;C79,"Gap Down Opening",
IF(B86&lt;D79,"Negative Opening",
IF(B86&gt;B79,"Gap Up Opening",
IF(B86&gt;D79,"Positive Opening",""))))</f>
        <v/>
      </c>
      <c r="D86" s="39"/>
      <c r="E86" s="39"/>
      <c r="F86" s="26"/>
      <c r="G86" s="26"/>
      <c r="H86" s="26"/>
      <c r="I86" s="26"/>
      <c r="J86" s="26"/>
      <c r="K86" s="26"/>
      <c r="L86" s="26"/>
      <c r="M86" s="26"/>
      <c r="N86" s="26"/>
      <c r="O86" s="34" t="s">
        <v>31</v>
      </c>
      <c r="P86" s="40">
        <v>25279.75</v>
      </c>
      <c r="Q86" s="26"/>
      <c r="R86" s="26"/>
      <c r="S86" s="26"/>
      <c r="T86" s="26"/>
      <c r="U86" s="26"/>
      <c r="V86" s="26"/>
      <c r="AB86" s="22"/>
    </row>
    <row r="87" spans="1:28" x14ac:dyDescent="0.3">
      <c r="A87" s="42" t="s">
        <v>34</v>
      </c>
      <c r="B87" s="43" t="s">
        <v>50</v>
      </c>
      <c r="C87" s="43" t="s">
        <v>38</v>
      </c>
      <c r="D87" s="43" t="s">
        <v>39</v>
      </c>
      <c r="E87" s="43" t="s">
        <v>51</v>
      </c>
      <c r="F87" s="26"/>
      <c r="G87" s="26"/>
      <c r="H87" s="26"/>
      <c r="I87" s="26"/>
      <c r="J87" s="26"/>
      <c r="K87" s="26"/>
      <c r="L87" s="26"/>
      <c r="M87" s="26"/>
      <c r="N87" s="26"/>
      <c r="O87" s="34" t="s">
        <v>32</v>
      </c>
      <c r="P87" s="40">
        <v>25089.7</v>
      </c>
      <c r="Q87" s="26"/>
      <c r="R87" s="26"/>
      <c r="S87" s="26"/>
      <c r="T87" s="26"/>
      <c r="U87" s="26"/>
      <c r="V87" s="26"/>
      <c r="AB87" s="22"/>
    </row>
    <row r="88" spans="1:28" ht="18" customHeight="1" x14ac:dyDescent="0.35">
      <c r="A88" s="44"/>
      <c r="B88" s="44">
        <f>B79-A88</f>
        <v>0</v>
      </c>
      <c r="C88" s="44">
        <f>C79-A88</f>
        <v>0</v>
      </c>
      <c r="D88" s="44">
        <f>D79-A88</f>
        <v>0</v>
      </c>
      <c r="E88" s="44">
        <f>B86-A88</f>
        <v>0</v>
      </c>
      <c r="F88" s="26"/>
      <c r="G88" s="26"/>
      <c r="H88" s="26"/>
      <c r="I88" s="26"/>
      <c r="J88" s="51"/>
      <c r="K88" s="51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AB88" s="22"/>
    </row>
    <row r="89" spans="1:28" ht="18" customHeight="1" thickBot="1" x14ac:dyDescent="0.4">
      <c r="A89" s="45"/>
      <c r="B89" s="45">
        <f>A89-B79</f>
        <v>0</v>
      </c>
      <c r="C89" s="45">
        <f>A89-C79</f>
        <v>0</v>
      </c>
      <c r="D89" s="45">
        <f>A89-D79</f>
        <v>0</v>
      </c>
      <c r="E89" s="45">
        <f>A89-B86</f>
        <v>0</v>
      </c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AB89" s="22"/>
    </row>
    <row r="90" spans="1:28" ht="15.6" thickTop="1" thickBot="1" x14ac:dyDescent="0.35">
      <c r="A90" s="46" t="s">
        <v>35</v>
      </c>
      <c r="B90" s="5"/>
      <c r="C90" s="5"/>
      <c r="D90" s="5"/>
      <c r="E90" s="5"/>
      <c r="F90" s="26"/>
      <c r="G90" s="26" t="s">
        <v>9</v>
      </c>
      <c r="H90" s="68" t="s">
        <v>55</v>
      </c>
      <c r="I90" s="68" t="s">
        <v>53</v>
      </c>
      <c r="J90" s="68" t="s">
        <v>54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AB90" s="22"/>
    </row>
    <row r="91" spans="1:28" ht="15.6" thickTop="1" thickBot="1" x14ac:dyDescent="0.35">
      <c r="A91" s="47">
        <f>(A88+A89)/2</f>
        <v>0</v>
      </c>
      <c r="B91" s="5"/>
      <c r="C91" s="5"/>
      <c r="D91" s="5"/>
      <c r="E91" s="5"/>
      <c r="F91" s="26"/>
      <c r="G91" s="26"/>
      <c r="H91" s="68" t="s">
        <v>7</v>
      </c>
      <c r="I91" s="69"/>
      <c r="J91" s="69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39"/>
      <c r="X91" s="39"/>
      <c r="Y91" s="39"/>
      <c r="Z91" s="39"/>
      <c r="AA91" s="39"/>
      <c r="AB91" s="39"/>
    </row>
    <row r="92" spans="1:28" ht="15.6" thickTop="1" thickBot="1" x14ac:dyDescent="0.35">
      <c r="A92" s="53"/>
      <c r="B92" s="58"/>
      <c r="C92" s="54"/>
      <c r="D92" s="39"/>
      <c r="E92" s="22"/>
      <c r="F92" s="26"/>
      <c r="G92" s="26"/>
      <c r="H92" s="68" t="s">
        <v>8</v>
      </c>
      <c r="I92" s="69"/>
      <c r="J92" s="69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39"/>
      <c r="X92" s="39"/>
      <c r="Y92" s="39"/>
      <c r="Z92" s="39"/>
      <c r="AA92" s="39"/>
      <c r="AB92" s="39"/>
    </row>
    <row r="93" spans="1:28" ht="15.6" thickTop="1" thickBot="1" x14ac:dyDescent="0.35">
      <c r="A93" s="54"/>
      <c r="B93" s="53"/>
      <c r="C93" s="54"/>
      <c r="D93" s="39"/>
      <c r="E93" s="22"/>
      <c r="F93" s="26"/>
      <c r="G93" s="26"/>
      <c r="H93" s="68" t="s">
        <v>9</v>
      </c>
      <c r="I93" s="69"/>
      <c r="J93" s="69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39"/>
      <c r="X93" s="39"/>
      <c r="Y93" s="39"/>
      <c r="Z93" s="39"/>
      <c r="AA93" s="39"/>
      <c r="AB93" s="39"/>
    </row>
    <row r="94" spans="1:28" s="39" customFormat="1" ht="15.6" thickTop="1" thickBot="1" x14ac:dyDescent="0.35">
      <c r="A94" s="58"/>
      <c r="B94" s="55"/>
      <c r="C94" s="1"/>
      <c r="F94" s="26"/>
      <c r="G94" s="26"/>
      <c r="H94" s="68" t="s">
        <v>6</v>
      </c>
      <c r="I94" s="69"/>
      <c r="J94" s="69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 spans="1:28" s="39" customFormat="1" ht="15" thickTop="1" x14ac:dyDescent="0.3">
      <c r="A95" s="59"/>
      <c r="B95" s="58"/>
      <c r="C95" s="5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 spans="1:28" s="39" customFormat="1" ht="15" thickBot="1" x14ac:dyDescent="0.35">
      <c r="A96" s="57"/>
      <c r="B96" s="57"/>
      <c r="C96" s="57"/>
      <c r="F96" s="26"/>
      <c r="G96" s="26"/>
      <c r="H96" s="26"/>
      <c r="I96" s="26"/>
      <c r="J96" s="26"/>
      <c r="K96" s="26"/>
      <c r="L96" s="26"/>
      <c r="M96" s="26" t="s">
        <v>36</v>
      </c>
      <c r="N96" s="26"/>
      <c r="O96" s="26"/>
      <c r="P96" s="26"/>
      <c r="Q96" s="26"/>
      <c r="R96" s="26"/>
      <c r="S96" s="26"/>
      <c r="T96" s="26"/>
      <c r="U96" s="26"/>
      <c r="V96" s="26"/>
    </row>
    <row r="97" spans="1:27" s="39" customFormat="1" ht="15.6" thickTop="1" thickBot="1" x14ac:dyDescent="0.35">
      <c r="A97" s="60" t="s">
        <v>52</v>
      </c>
      <c r="B97" s="60" t="s">
        <v>53</v>
      </c>
      <c r="C97" s="60" t="s">
        <v>54</v>
      </c>
      <c r="D97" s="52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 spans="1:27" s="39" customFormat="1" ht="15.6" thickTop="1" thickBot="1" x14ac:dyDescent="0.35">
      <c r="A98" s="63"/>
      <c r="B98" s="61"/>
      <c r="C98" s="62"/>
      <c r="D98" s="52"/>
      <c r="F98" s="26"/>
      <c r="G98" s="26" t="s">
        <v>33</v>
      </c>
      <c r="H98" s="68" t="s">
        <v>55</v>
      </c>
      <c r="I98" s="68" t="s">
        <v>53</v>
      </c>
      <c r="J98" s="68" t="s">
        <v>54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spans="1:27" s="39" customFormat="1" ht="15.6" thickTop="1" thickBot="1" x14ac:dyDescent="0.35">
      <c r="A99" s="64"/>
      <c r="B99" s="61"/>
      <c r="C99" s="62"/>
      <c r="D99" s="52"/>
      <c r="F99" s="26"/>
      <c r="G99" s="26"/>
      <c r="H99" s="68" t="s">
        <v>7</v>
      </c>
      <c r="I99" s="69"/>
      <c r="J99" s="69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spans="1:27" s="39" customFormat="1" ht="15.6" thickTop="1" thickBot="1" x14ac:dyDescent="0.35">
      <c r="A100" s="64"/>
      <c r="B100" s="61"/>
      <c r="C100" s="62"/>
      <c r="F100" s="26"/>
      <c r="G100" s="26"/>
      <c r="H100" s="68" t="s">
        <v>8</v>
      </c>
      <c r="I100" s="69"/>
      <c r="J100" s="69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spans="1:27" s="39" customFormat="1" ht="15.6" thickTop="1" thickBot="1" x14ac:dyDescent="0.35">
      <c r="A101" s="64"/>
      <c r="B101" s="61"/>
      <c r="C101" s="62"/>
      <c r="E101" s="26"/>
      <c r="F101" s="26"/>
      <c r="G101" s="26"/>
      <c r="H101" s="68" t="s">
        <v>9</v>
      </c>
      <c r="I101" s="69"/>
      <c r="J101" s="69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spans="1:27" s="2" customFormat="1" ht="15.6" thickTop="1" thickBot="1" x14ac:dyDescent="0.35">
      <c r="A102" s="64"/>
      <c r="B102" s="61"/>
      <c r="C102" s="62"/>
      <c r="D102" s="22"/>
      <c r="E102" s="49"/>
      <c r="F102" s="26"/>
      <c r="G102" s="26"/>
      <c r="H102" s="68" t="s">
        <v>6</v>
      </c>
      <c r="I102" s="69"/>
      <c r="J102" s="69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2"/>
      <c r="X102" s="22"/>
      <c r="Y102" s="22"/>
      <c r="Z102" s="22"/>
      <c r="AA102" s="22"/>
    </row>
    <row r="103" spans="1:27" s="2" customFormat="1" ht="15.6" thickTop="1" thickBot="1" x14ac:dyDescent="0.35">
      <c r="A103" s="64"/>
      <c r="B103" s="61"/>
      <c r="C103" s="62"/>
      <c r="D103" s="22"/>
      <c r="E103" s="49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2"/>
      <c r="X103" s="22"/>
      <c r="Y103" s="22"/>
      <c r="Z103" s="22"/>
      <c r="AA103" s="22"/>
    </row>
    <row r="104" spans="1:27" ht="15.6" thickTop="1" thickBot="1" x14ac:dyDescent="0.35">
      <c r="A104" s="64"/>
      <c r="B104" s="61"/>
      <c r="C104" s="62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spans="1:27" ht="15.6" thickTop="1" thickBot="1" x14ac:dyDescent="0.35">
      <c r="A105" s="64"/>
      <c r="B105" s="61"/>
      <c r="C105" s="62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spans="1:27" ht="15.6" thickTop="1" thickBot="1" x14ac:dyDescent="0.35">
      <c r="A106" s="64"/>
      <c r="B106" s="61"/>
      <c r="C106" s="62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spans="1:27" ht="15.6" thickTop="1" thickBot="1" x14ac:dyDescent="0.35">
      <c r="A107" s="64"/>
      <c r="B107" s="61"/>
      <c r="C107" s="62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spans="1:27" ht="15.6" thickTop="1" thickBot="1" x14ac:dyDescent="0.35">
      <c r="A108" s="64"/>
      <c r="B108" s="61"/>
      <c r="C108" s="62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spans="1:27" ht="15.6" thickTop="1" thickBot="1" x14ac:dyDescent="0.35">
      <c r="A109" s="64"/>
      <c r="B109" s="61"/>
      <c r="C109" s="62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spans="1:27" ht="15.6" thickTop="1" thickBot="1" x14ac:dyDescent="0.35">
      <c r="A110" s="64"/>
      <c r="B110" s="61"/>
      <c r="C110" s="62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spans="1:27" ht="15.6" thickTop="1" thickBot="1" x14ac:dyDescent="0.35">
      <c r="A111" s="64"/>
      <c r="B111" s="61"/>
      <c r="C111" s="62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spans="1:27" ht="15" thickTop="1" x14ac:dyDescent="0.3"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spans="6:22" x14ac:dyDescent="0.3"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 spans="6:22" x14ac:dyDescent="0.3"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spans="6:22" x14ac:dyDescent="0.3"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spans="6:22" x14ac:dyDescent="0.3"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spans="6:22" x14ac:dyDescent="0.3"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spans="6:22" x14ac:dyDescent="0.3"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spans="6:22" x14ac:dyDescent="0.3"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spans="6:22" x14ac:dyDescent="0.3"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spans="6:22" x14ac:dyDescent="0.3"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</sheetData>
  <mergeCells count="7">
    <mergeCell ref="U1:AA1"/>
    <mergeCell ref="O80:P80"/>
    <mergeCell ref="B1:E1"/>
    <mergeCell ref="F1:I1"/>
    <mergeCell ref="J1:M1"/>
    <mergeCell ref="N1:T1"/>
    <mergeCell ref="H78:L78"/>
  </mergeCells>
  <conditionalFormatting sqref="B86">
    <cfRule type="cellIs" dxfId="41" priority="28" operator="greaterThan">
      <formula>$D$58</formula>
    </cfRule>
    <cfRule type="cellIs" dxfId="40" priority="27" operator="lessThan">
      <formula>$D$58</formula>
    </cfRule>
  </conditionalFormatting>
  <conditionalFormatting sqref="C86">
    <cfRule type="containsText" dxfId="39" priority="25" operator="containsText" text="Gap Down Opening">
      <formula>NOT(ISERROR(SEARCH("Gap Down Opening",C86)))</formula>
    </cfRule>
    <cfRule type="containsText" dxfId="38" priority="26" operator="containsText" text="down, negative">
      <formula>NOT(ISERROR(SEARCH("down, negative",C86)))</formula>
    </cfRule>
    <cfRule type="containsText" dxfId="37" priority="22" operator="containsText" text="Positive">
      <formula>NOT(ISERROR(SEARCH("Positive",C86)))</formula>
    </cfRule>
    <cfRule type="containsText" dxfId="36" priority="23" operator="containsText" text="Negative ">
      <formula>NOT(ISERROR(SEARCH("Negative ",C86)))</formula>
    </cfRule>
    <cfRule type="containsText" dxfId="35" priority="24" operator="containsText" text="Gap Up ">
      <formula>NOT(ISERROR(SEARCH("Gap Up ",C86)))</formula>
    </cfRule>
  </conditionalFormatting>
  <conditionalFormatting sqref="F85:H85 F86:V89 F90:G94 K90:V94 F95:V97 F98:G102 K98:V102 F103:V121">
    <cfRule type="containsText" dxfId="34" priority="60" operator="containsText" text="CE">
      <formula>NOT(ISERROR(SEARCH("CE",F85)))</formula>
    </cfRule>
  </conditionalFormatting>
  <conditionalFormatting sqref="F86:V89 F85:H85 F90:G94 K90:V94 F95:V97 F98:G102 K98:V102 F103:V121">
    <cfRule type="containsText" dxfId="33" priority="59" operator="containsText" text="PE">
      <formula>NOT(ISERROR(SEARCH("PE",F85)))</formula>
    </cfRule>
  </conditionalFormatting>
  <conditionalFormatting sqref="H80:H84">
    <cfRule type="containsText" dxfId="32" priority="70" operator="containsText" text="CE">
      <formula>NOT(ISERROR(SEARCH("CE",H80)))</formula>
    </cfRule>
    <cfRule type="containsText" dxfId="31" priority="69" operator="containsText" text="PE">
      <formula>NOT(ISERROR(SEARCH("PE",H80)))</formula>
    </cfRule>
  </conditionalFormatting>
  <conditionalFormatting sqref="H79:K79">
    <cfRule type="containsText" dxfId="30" priority="49" operator="containsText" text="PE">
      <formula>NOT(ISERROR(SEARCH("PE",H79)))</formula>
    </cfRule>
    <cfRule type="containsText" dxfId="29" priority="50" operator="containsText" text="CE">
      <formula>NOT(ISERROR(SEARCH("CE",H79)))</formula>
    </cfRule>
  </conditionalFormatting>
  <conditionalFormatting sqref="I80:I85">
    <cfRule type="cellIs" dxfId="28" priority="44" operator="lessThan">
      <formula>$D$58</formula>
    </cfRule>
    <cfRule type="cellIs" dxfId="27" priority="45" operator="greaterThan">
      <formula>$D$58</formula>
    </cfRule>
    <cfRule type="duplicateValues" dxfId="26" priority="43"/>
    <cfRule type="cellIs" dxfId="25" priority="46" operator="equal">
      <formula>$A$70</formula>
    </cfRule>
    <cfRule type="cellIs" dxfId="24" priority="47" operator="greaterThan">
      <formula>24500</formula>
    </cfRule>
    <cfRule type="cellIs" dxfId="23" priority="48" operator="lessThan">
      <formula>24500</formula>
    </cfRule>
  </conditionalFormatting>
  <conditionalFormatting sqref="I91">
    <cfRule type="cellIs" dxfId="22" priority="14" operator="greaterThan">
      <formula>$J$91</formula>
    </cfRule>
  </conditionalFormatting>
  <conditionalFormatting sqref="I92">
    <cfRule type="cellIs" dxfId="21" priority="12" operator="lessThan">
      <formula>$J$92</formula>
    </cfRule>
  </conditionalFormatting>
  <conditionalFormatting sqref="I93">
    <cfRule type="cellIs" dxfId="20" priority="9" operator="greaterThan">
      <formula>$J$93</formula>
    </cfRule>
  </conditionalFormatting>
  <conditionalFormatting sqref="I99">
    <cfRule type="cellIs" dxfId="19" priority="7" operator="greaterThan">
      <formula>$J$91</formula>
    </cfRule>
  </conditionalFormatting>
  <conditionalFormatting sqref="I100">
    <cfRule type="cellIs" dxfId="18" priority="5" operator="lessThan">
      <formula>$J$92</formula>
    </cfRule>
  </conditionalFormatting>
  <conditionalFormatting sqref="I101">
    <cfRule type="cellIs" dxfId="17" priority="2" operator="greaterThan">
      <formula>$J$93</formula>
    </cfRule>
  </conditionalFormatting>
  <conditionalFormatting sqref="J91">
    <cfRule type="cellIs" dxfId="16" priority="10" operator="greaterThan">
      <formula>$I$91</formula>
    </cfRule>
    <cfRule type="cellIs" dxfId="15" priority="13" operator="greaterThan">
      <formula>$I$91</formula>
    </cfRule>
  </conditionalFormatting>
  <conditionalFormatting sqref="J92">
    <cfRule type="cellIs" dxfId="14" priority="11" operator="lessThan">
      <formula>$I$92</formula>
    </cfRule>
  </conditionalFormatting>
  <conditionalFormatting sqref="J93">
    <cfRule type="cellIs" dxfId="13" priority="8" operator="greaterThan">
      <formula>$I$93</formula>
    </cfRule>
  </conditionalFormatting>
  <conditionalFormatting sqref="J99">
    <cfRule type="cellIs" dxfId="12" priority="6" operator="greaterThan">
      <formula>$I$91</formula>
    </cfRule>
    <cfRule type="cellIs" dxfId="11" priority="3" operator="greaterThan">
      <formula>$I$91</formula>
    </cfRule>
  </conditionalFormatting>
  <conditionalFormatting sqref="J100">
    <cfRule type="cellIs" dxfId="10" priority="4" operator="lessThan">
      <formula>$I$92</formula>
    </cfRule>
  </conditionalFormatting>
  <conditionalFormatting sqref="J101">
    <cfRule type="cellIs" dxfId="9" priority="1" operator="greaterThan">
      <formula>$I$93</formula>
    </cfRule>
  </conditionalFormatting>
  <conditionalFormatting sqref="J80:K85">
    <cfRule type="cellIs" dxfId="8" priority="52" operator="greaterThan">
      <formula>$D$79</formula>
    </cfRule>
    <cfRule type="cellIs" dxfId="7" priority="53" operator="lessThan">
      <formula>$S$2</formula>
    </cfRule>
    <cfRule type="cellIs" dxfId="6" priority="54" operator="greaterThan">
      <formula>$S$2</formula>
    </cfRule>
    <cfRule type="cellIs" dxfId="5" priority="51" operator="lessThan">
      <formula>$D$79</formula>
    </cfRule>
  </conditionalFormatting>
  <conditionalFormatting sqref="L80:L85">
    <cfRule type="containsText" dxfId="4" priority="17" operator="containsText" text="ITM">
      <formula>NOT(ISERROR(SEARCH("ITM",L80)))</formula>
    </cfRule>
    <cfRule type="containsText" dxfId="3" priority="16" operator="containsText" text="OTM">
      <formula>NOT(ISERROR(SEARCH("OTM",L80)))</formula>
    </cfRule>
    <cfRule type="containsText" dxfId="2" priority="15" operator="containsText" text="ATM">
      <formula>NOT(ISERROR(SEARCH("ATM",L80)))</formula>
    </cfRule>
  </conditionalFormatting>
  <conditionalFormatting sqref="N85 Q85:V85 O87:P87 E101">
    <cfRule type="containsText" dxfId="1" priority="57" operator="containsText" text="PE">
      <formula>NOT(ISERROR(SEARCH("PE",E85)))</formula>
    </cfRule>
    <cfRule type="containsText" dxfId="0" priority="58" operator="containsText" text="CE">
      <formula>NOT(ISERROR(SEARCH("CE",E85)))</formula>
    </cfRule>
  </conditionalFormatting>
  <conditionalFormatting sqref="AD1:AD1048576">
    <cfRule type="top10" priority="66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108TSA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 Mini</dc:creator>
  <cp:lastModifiedBy>Esti Mini</cp:lastModifiedBy>
  <dcterms:created xsi:type="dcterms:W3CDTF">2026-03-11T05:39:07Z</dcterms:created>
  <dcterms:modified xsi:type="dcterms:W3CDTF">2026-03-25T02:10:36Z</dcterms:modified>
</cp:coreProperties>
</file>