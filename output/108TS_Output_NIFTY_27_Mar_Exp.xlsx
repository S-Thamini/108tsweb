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27 Mar Exp 07 Ap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4"/>
      <scheme val="minor"/>
    </font>
    <font>
      <name val="Times New Roman"/>
      <family val="1"/>
      <b val="1"/>
      <color theme="0"/>
      <sz val="14"/>
    </font>
    <font>
      <name val="Aptos Narrow"/>
      <family val="2"/>
      <b val="1"/>
      <color theme="0"/>
      <sz val="9"/>
      <scheme val="minor"/>
    </font>
    <font>
      <name val="Aptos Narrow"/>
      <family val="2"/>
      <b val="1"/>
      <color rgb="FFFF0000"/>
      <sz val="11"/>
      <scheme val="minor"/>
    </font>
    <font>
      <name val="Times New Roman"/>
      <family val="1"/>
      <b val="1"/>
      <color theme="1"/>
      <sz val="14"/>
    </font>
    <font>
      <name val="Aptos Narrow"/>
      <family val="2"/>
      <color rgb="FF000000"/>
      <sz val="11"/>
      <scheme val="minor"/>
    </font>
    <font>
      <name val="Calibri"/>
      <family val="2"/>
      <b val="1"/>
      <color theme="0"/>
      <sz val="14"/>
    </font>
    <font>
      <name val="Calibri"/>
      <family val="2"/>
      <b val="1"/>
      <color theme="1"/>
      <sz val="14"/>
    </font>
    <font>
      <name val="Aptos Narrow"/>
      <family val="2"/>
      <b val="1"/>
      <color theme="1"/>
      <sz val="13.5"/>
      <scheme val="minor"/>
    </font>
    <font>
      <name val="Calibri"/>
      <family val="2"/>
      <b val="1"/>
      <color rgb="FFFFFFFF"/>
      <sz val="12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4"/>
    </font>
    <font>
      <b val="1"/>
    </font>
  </fonts>
  <fills count="3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B5E6A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9"/>
        <bgColor rgb="FF00B050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5999938962981048"/>
        <bgColor rgb="FF00B050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2"/>
        <bgColor indexed="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3" fillId="7" borderId="1" applyAlignment="1" pivotButton="0" quotePrefix="0" xfId="0">
      <alignment horizontal="center" vertical="center"/>
    </xf>
    <xf numFmtId="2" fontId="3" fillId="7" borderId="1" applyAlignment="1" pivotButton="0" quotePrefix="0" xfId="0">
      <alignment horizontal="center"/>
    </xf>
    <xf numFmtId="2" fontId="4" fillId="7" borderId="1" applyAlignment="1" pivotButton="0" quotePrefix="0" xfId="0">
      <alignment horizontal="center"/>
    </xf>
    <xf numFmtId="2" fontId="1" fillId="7" borderId="1" applyAlignment="1" pivotButton="0" quotePrefix="0" xfId="0">
      <alignment horizontal="center"/>
    </xf>
    <xf numFmtId="2" fontId="5" fillId="7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 wrapText="1"/>
    </xf>
    <xf numFmtId="4" fontId="6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2" fontId="2" fillId="9" borderId="1" applyAlignment="1" pivotButton="0" quotePrefix="0" xfId="0">
      <alignment horizontal="center"/>
    </xf>
    <xf numFmtId="2" fontId="1" fillId="10" borderId="1" applyAlignment="1" pivotButton="0" quotePrefix="0" xfId="0">
      <alignment horizontal="center"/>
    </xf>
    <xf numFmtId="2" fontId="1" fillId="11" borderId="1" applyAlignment="1" pivotButton="0" quotePrefix="0" xfId="0">
      <alignment horizontal="center"/>
    </xf>
    <xf numFmtId="1" fontId="0" fillId="4" borderId="1" applyAlignment="1" pivotButton="0" quotePrefix="0" xfId="0">
      <alignment horizontal="center" vertical="center"/>
    </xf>
    <xf numFmtId="2" fontId="4" fillId="12" borderId="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2" fontId="9" fillId="12" borderId="1" applyAlignment="1" pivotButton="0" quotePrefix="0" xfId="0">
      <alignment horizontal="center"/>
    </xf>
    <xf numFmtId="2" fontId="10" fillId="12" borderId="1" applyAlignment="1" pivotButton="0" quotePrefix="0" xfId="0">
      <alignment horizontal="center"/>
    </xf>
    <xf numFmtId="2" fontId="11" fillId="1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2" fontId="8" fillId="16" borderId="1" applyAlignment="1" pivotButton="0" quotePrefix="0" xfId="0">
      <alignment horizontal="center"/>
    </xf>
    <xf numFmtId="2" fontId="9" fillId="17" borderId="1" applyAlignment="1" pivotButton="0" quotePrefix="0" xfId="0">
      <alignment horizontal="center"/>
    </xf>
    <xf numFmtId="2" fontId="12" fillId="18" borderId="1" applyAlignment="1" pivotButton="0" quotePrefix="0" xfId="0">
      <alignment horizontal="center"/>
    </xf>
    <xf numFmtId="2" fontId="13" fillId="19" borderId="1" applyAlignment="1" pivotButton="0" quotePrefix="0" xfId="0">
      <alignment horizontal="center"/>
    </xf>
    <xf numFmtId="0" fontId="13" fillId="19" borderId="1" applyAlignment="1" pivotButton="0" quotePrefix="0" xfId="0">
      <alignment horizontal="center" vertical="center" wrapText="1"/>
    </xf>
    <xf numFmtId="2" fontId="9" fillId="18" borderId="1" applyAlignment="1" pivotButton="0" quotePrefix="0" xfId="0">
      <alignment horizontal="center"/>
    </xf>
    <xf numFmtId="2" fontId="14" fillId="20" borderId="1" applyAlignment="1" pivotButton="0" quotePrefix="0" xfId="0">
      <alignment horizontal="center"/>
    </xf>
    <xf numFmtId="0" fontId="14" fillId="2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2" fontId="13" fillId="19" borderId="1" applyAlignment="1" pivotButton="0" quotePrefix="0" xfId="0">
      <alignment horizontal="center" vertical="center" wrapText="1"/>
    </xf>
    <xf numFmtId="2" fontId="9" fillId="21" borderId="1" applyAlignment="1" pivotButton="0" quotePrefix="0" xfId="0">
      <alignment horizontal="center"/>
    </xf>
    <xf numFmtId="2" fontId="15" fillId="4" borderId="1" applyAlignment="1" pivotButton="0" quotePrefix="0" xfId="0">
      <alignment horizontal="center"/>
    </xf>
    <xf numFmtId="2" fontId="14" fillId="20" borderId="1" applyAlignment="1" pivotButton="0" quotePrefix="0" xfId="0">
      <alignment horizontal="center" vertical="center" wrapText="1"/>
    </xf>
    <xf numFmtId="2" fontId="0" fillId="22" borderId="1" applyAlignment="1" pivotButton="0" quotePrefix="0" xfId="0">
      <alignment horizontal="center"/>
    </xf>
    <xf numFmtId="2" fontId="16" fillId="23" borderId="1" applyAlignment="1" pivotButton="0" quotePrefix="0" xfId="0">
      <alignment horizontal="center"/>
    </xf>
    <xf numFmtId="2" fontId="2" fillId="24" borderId="1" applyAlignment="1" pivotButton="0" quotePrefix="0" xfId="0">
      <alignment horizontal="center"/>
    </xf>
    <xf numFmtId="2" fontId="3" fillId="25" borderId="1" applyAlignment="1" pivotButton="0" quotePrefix="0" xfId="0">
      <alignment horizontal="center"/>
    </xf>
    <xf numFmtId="2" fontId="9" fillId="25" borderId="1" applyAlignment="1" pivotButton="0" quotePrefix="0" xfId="0">
      <alignment horizontal="center"/>
    </xf>
    <xf numFmtId="2" fontId="0" fillId="26" borderId="1" applyAlignment="1" pivotButton="0" quotePrefix="0" xfId="0">
      <alignment horizontal="center"/>
    </xf>
    <xf numFmtId="1" fontId="0" fillId="26" borderId="1" applyAlignment="1" pivotButton="0" quotePrefix="0" xfId="0">
      <alignment horizontal="center"/>
    </xf>
    <xf numFmtId="2" fontId="1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2" fontId="17" fillId="1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 wrapText="1"/>
    </xf>
    <xf numFmtId="2" fontId="15" fillId="4" borderId="3" applyAlignment="1" pivotButton="0" quotePrefix="0" xfId="0">
      <alignment horizontal="center"/>
    </xf>
    <xf numFmtId="2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 wrapText="1"/>
    </xf>
    <xf numFmtId="2" fontId="15" fillId="4" borderId="1" applyAlignment="1" pivotButton="0" quotePrefix="0" xfId="0">
      <alignment horizontal="center" vertical="center"/>
    </xf>
    <xf numFmtId="2" fontId="15" fillId="4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7" borderId="4" applyAlignment="1" pivotButton="0" quotePrefix="0" xfId="0">
      <alignment horizontal="center" vertical="center"/>
    </xf>
    <xf numFmtId="2" fontId="15" fillId="27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2" fontId="12" fillId="28" borderId="1" applyAlignment="1" pivotButton="0" quotePrefix="0" xfId="0">
      <alignment horizontal="center"/>
    </xf>
    <xf numFmtId="1" fontId="2" fillId="4" borderId="1" applyAlignment="1" pivotButton="0" quotePrefix="0" xfId="0">
      <alignment horizontal="center" vertical="center" wrapText="1"/>
    </xf>
    <xf numFmtId="2" fontId="0" fillId="29" borderId="4" applyAlignment="1" pivotButton="0" quotePrefix="0" xfId="0">
      <alignment horizontal="center"/>
    </xf>
    <xf numFmtId="2" fontId="0" fillId="0" borderId="4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2" fontId="8" fillId="14" borderId="1" applyAlignment="1" pivotButton="0" quotePrefix="0" xfId="0">
      <alignment horizontal="center"/>
    </xf>
    <xf numFmtId="2" fontId="0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2" fontId="8" fillId="13" borderId="6" applyAlignment="1" pivotButton="0" quotePrefix="0" xfId="0">
      <alignment horizontal="center"/>
    </xf>
    <xf numFmtId="2" fontId="8" fillId="13" borderId="2" applyAlignment="1" pivotButton="0" quotePrefix="0" xfId="0">
      <alignment horizontal="center"/>
    </xf>
    <xf numFmtId="2" fontId="8" fillId="13" borderId="3" applyAlignment="1" pivotButton="0" quotePrefix="0" xfId="0">
      <alignment horizontal="center"/>
    </xf>
    <xf numFmtId="2" fontId="18" fillId="12" borderId="1" applyAlignment="1" pivotButton="0" quotePrefix="0" xfId="0">
      <alignment horizontal="center"/>
    </xf>
    <xf numFmtId="2" fontId="8" fillId="13" borderId="1" applyAlignment="1" pivotButton="0" quotePrefix="0" xfId="0">
      <alignment horizontal="center"/>
    </xf>
    <xf numFmtId="2" fontId="12" fillId="30" borderId="1" applyAlignment="1" pivotButton="0" quotePrefix="0" xfId="0">
      <alignment horizontal="center"/>
    </xf>
    <xf numFmtId="2" fontId="12" fillId="31" borderId="1" applyAlignment="1" pivotButton="0" quotePrefix="0" xfId="0">
      <alignment horizontal="center"/>
    </xf>
    <xf numFmtId="1" fontId="2" fillId="31" borderId="1" applyAlignment="1" pivotButton="0" quotePrefix="0" xfId="0">
      <alignment horizontal="center" vertical="center" wrapText="1"/>
    </xf>
  </cellXfs>
  <cellStyles count="1">
    <cellStyle name="Normal" xfId="0" builtinId="0"/>
  </cellStyles>
  <dxfs count="4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fgColor rgb="FFFF00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9"/>
  <sheetViews>
    <sheetView tabSelected="1" workbookViewId="0">
      <selection activeCell="D108" sqref="D108"/>
    </sheetView>
  </sheetViews>
  <sheetFormatPr baseColWidth="8" defaultRowHeight="14.4"/>
  <cols>
    <col width="18.6640625" customWidth="1" style="5" min="1" max="1"/>
    <col width="21.77734375" customWidth="1" style="22" min="2" max="2"/>
    <col width="23.33203125" customWidth="1" style="22" min="3" max="3"/>
    <col width="20.77734375" customWidth="1" style="22" min="4" max="4"/>
    <col width="12.33203125" customWidth="1" style="49" min="5" max="5"/>
    <col width="13.88671875" customWidth="1" style="22" min="6" max="6"/>
    <col width="8.88671875" customWidth="1" style="22" min="7" max="7"/>
    <col width="17.6640625" customWidth="1" style="22" min="8" max="8"/>
    <col width="24.6640625" customWidth="1" style="49" min="9" max="9"/>
    <col width="26.77734375" customWidth="1" style="76" min="10" max="10"/>
    <col width="12.21875" customWidth="1" style="76" min="11" max="11"/>
    <col width="17.44140625" customWidth="1" style="48" min="12" max="13"/>
    <col width="17.44140625" customWidth="1" style="22" min="14" max="14"/>
    <col width="17" customWidth="1" style="22" min="15" max="15"/>
    <col width="19" customWidth="1" style="22" min="16" max="16"/>
    <col width="8.88671875" customWidth="1" style="22" min="17" max="20"/>
    <col width="14.21875" customWidth="1" style="22" min="21" max="21"/>
    <col width="8.88671875" customWidth="1" style="22" min="22" max="27"/>
    <col width="17.77734375" customWidth="1" style="5" min="28" max="28"/>
    <col width="14.77734375" customWidth="1" style="5" min="29" max="29"/>
    <col width="8.88671875" customWidth="1" style="5" min="30" max="16384"/>
  </cols>
  <sheetData>
    <row r="1">
      <c r="A1" s="1" t="inlineStr">
        <is>
          <t>STRIKE</t>
        </is>
      </c>
      <c r="B1" s="74" t="inlineStr">
        <is>
          <t>CALL OPTION</t>
        </is>
      </c>
      <c r="C1" s="71" t="n"/>
      <c r="D1" s="71" t="n"/>
      <c r="E1" s="72" t="n"/>
      <c r="F1" s="75" t="inlineStr">
        <is>
          <t xml:space="preserve">PUT OPTION </t>
        </is>
      </c>
      <c r="G1" s="71" t="n"/>
      <c r="H1" s="71" t="n"/>
      <c r="I1" s="72" t="n"/>
      <c r="J1" s="76" t="inlineStr">
        <is>
          <t>STATS</t>
        </is>
      </c>
      <c r="K1" s="71" t="n"/>
      <c r="L1" s="71" t="n"/>
      <c r="M1" s="72" t="n"/>
      <c r="N1" s="77" t="inlineStr">
        <is>
          <t xml:space="preserve">CALL </t>
        </is>
      </c>
      <c r="O1" s="71" t="n"/>
      <c r="P1" s="71" t="n"/>
      <c r="Q1" s="71" t="n"/>
      <c r="R1" s="71" t="n"/>
      <c r="S1" s="71" t="n"/>
      <c r="T1" s="72" t="n"/>
      <c r="U1" s="70" t="inlineStr">
        <is>
          <t xml:space="preserve">PUT </t>
        </is>
      </c>
      <c r="V1" s="71" t="n"/>
      <c r="W1" s="71" t="n"/>
      <c r="X1" s="71" t="n"/>
      <c r="Y1" s="71" t="n"/>
      <c r="Z1" s="71" t="n"/>
      <c r="AA1" s="72" t="n"/>
    </row>
    <row r="2" ht="18" customFormat="1" customHeight="1" s="7">
      <c r="A2" s="6" t="n"/>
      <c r="B2" s="6" t="inlineStr">
        <is>
          <t xml:space="preserve">OPEN </t>
        </is>
      </c>
      <c r="C2" s="6" t="inlineStr">
        <is>
          <t>HIGH</t>
        </is>
      </c>
      <c r="D2" s="6" t="inlineStr">
        <is>
          <t xml:space="preserve">LOW </t>
        </is>
      </c>
      <c r="E2" s="6" t="inlineStr">
        <is>
          <t>CLOSE</t>
        </is>
      </c>
      <c r="F2" s="6" t="inlineStr">
        <is>
          <t xml:space="preserve">OPEN </t>
        </is>
      </c>
      <c r="G2" s="6" t="inlineStr">
        <is>
          <t>HIGH</t>
        </is>
      </c>
      <c r="H2" s="6" t="inlineStr">
        <is>
          <t xml:space="preserve">LOW </t>
        </is>
      </c>
      <c r="I2" s="6" t="inlineStr">
        <is>
          <t>CLOSE</t>
        </is>
      </c>
      <c r="J2" s="7" t="inlineStr">
        <is>
          <t xml:space="preserve">MID POINT </t>
        </is>
      </c>
      <c r="K2" s="7" t="inlineStr">
        <is>
          <t>TP</t>
        </is>
      </c>
      <c r="L2" s="7" t="inlineStr">
        <is>
          <t>Resistance</t>
        </is>
      </c>
      <c r="M2" s="7" t="n">
        <v>24500</v>
      </c>
      <c r="N2" s="8" t="inlineStr">
        <is>
          <t>P</t>
        </is>
      </c>
      <c r="O2" s="8" t="inlineStr">
        <is>
          <t>BC</t>
        </is>
      </c>
      <c r="P2" s="8" t="inlineStr">
        <is>
          <t>TC</t>
        </is>
      </c>
      <c r="Q2" s="8" t="inlineStr">
        <is>
          <t>R1</t>
        </is>
      </c>
      <c r="R2" s="8" t="inlineStr">
        <is>
          <t>R2</t>
        </is>
      </c>
      <c r="S2" s="8" t="inlineStr">
        <is>
          <t>S1</t>
        </is>
      </c>
      <c r="T2" s="8" t="inlineStr">
        <is>
          <t>S2</t>
        </is>
      </c>
      <c r="U2" s="8" t="inlineStr">
        <is>
          <t>P</t>
        </is>
      </c>
      <c r="V2" s="8" t="inlineStr">
        <is>
          <t>BC</t>
        </is>
      </c>
      <c r="W2" s="8" t="inlineStr">
        <is>
          <t>TC</t>
        </is>
      </c>
      <c r="X2" s="8" t="inlineStr">
        <is>
          <t>R1</t>
        </is>
      </c>
      <c r="Y2" s="8" t="inlineStr">
        <is>
          <t>R2</t>
        </is>
      </c>
      <c r="Z2" s="8" t="inlineStr">
        <is>
          <t>S1</t>
        </is>
      </c>
      <c r="AA2" s="8" t="inlineStr">
        <is>
          <t>S2</t>
        </is>
      </c>
      <c r="AB2" s="9" t="inlineStr">
        <is>
          <t>CALL TREND</t>
        </is>
      </c>
      <c r="AC2" s="9" t="inlineStr">
        <is>
          <t>PUT TREND</t>
        </is>
      </c>
      <c r="AD2" s="10" t="inlineStr">
        <is>
          <t>MID STRIKE</t>
        </is>
      </c>
    </row>
    <row r="3">
      <c r="A3" s="11" t="n">
        <v>21050</v>
      </c>
      <c r="B3" s="12" t="n">
        <v>0</v>
      </c>
      <c r="C3" s="12" t="n">
        <v>0</v>
      </c>
      <c r="D3" s="12" t="n">
        <v>0</v>
      </c>
      <c r="E3" s="13" t="n">
        <v>1651.95</v>
      </c>
      <c r="F3" s="14" t="n">
        <v>0</v>
      </c>
      <c r="G3" s="14" t="n">
        <v>0</v>
      </c>
      <c r="H3" s="14" t="n">
        <v>0</v>
      </c>
      <c r="I3" s="15" t="n">
        <v>0.05</v>
      </c>
      <c r="J3" s="16" t="n"/>
      <c r="K3" s="16" t="n"/>
      <c r="L3" s="17">
        <f>A3+E3</f>
        <v/>
      </c>
      <c r="M3" s="18">
        <f>A3-I3</f>
        <v/>
      </c>
      <c r="N3" s="77">
        <f>(C3+D3+E3)/3</f>
        <v/>
      </c>
      <c r="O3" s="77">
        <f>(C3+D3)/2</f>
        <v/>
      </c>
      <c r="P3" s="77">
        <f>(N3-O3)+N3</f>
        <v/>
      </c>
      <c r="Q3" s="77">
        <f>2*N3-D3</f>
        <v/>
      </c>
      <c r="R3" s="77">
        <f>N3+(C3-D3)</f>
        <v/>
      </c>
      <c r="S3" s="77">
        <f>(2*N3)-C3</f>
        <v/>
      </c>
      <c r="T3" s="77">
        <f>N3-(C3-D3)</f>
        <v/>
      </c>
      <c r="U3" s="70">
        <f>(G3+H3+I3)/3</f>
        <v/>
      </c>
      <c r="V3" s="70">
        <f>(G3+H3)/2</f>
        <v/>
      </c>
      <c r="W3" s="70">
        <f>(U3-V3)+U3</f>
        <v/>
      </c>
      <c r="X3" s="70">
        <f>2*U3-H3</f>
        <v/>
      </c>
      <c r="Y3" s="70">
        <f>U3+(G3-H3)</f>
        <v/>
      </c>
      <c r="Z3" s="70">
        <f>(2*U3)-G3</f>
        <v/>
      </c>
      <c r="AA3" s="70">
        <f>U3-(G3-H3)</f>
        <v/>
      </c>
      <c r="AD3" s="5">
        <f>E3-I3</f>
        <v/>
      </c>
    </row>
    <row r="4">
      <c r="A4" s="19" t="n">
        <v>21100</v>
      </c>
      <c r="B4" s="12" t="n">
        <v>0</v>
      </c>
      <c r="C4" s="12" t="n">
        <v>0</v>
      </c>
      <c r="D4" s="12" t="n">
        <v>0</v>
      </c>
      <c r="E4" s="13" t="n">
        <v>1631.95</v>
      </c>
      <c r="F4" s="14" t="n">
        <v>0</v>
      </c>
      <c r="G4" s="14" t="n">
        <v>0</v>
      </c>
      <c r="H4" s="14" t="n">
        <v>0</v>
      </c>
      <c r="I4" s="15" t="n">
        <v>0.05</v>
      </c>
      <c r="J4" s="16" t="n"/>
      <c r="K4" s="16" t="n"/>
      <c r="L4" s="17">
        <f>A4+E4</f>
        <v/>
      </c>
      <c r="M4" s="18">
        <f>A4-I4</f>
        <v/>
      </c>
      <c r="N4" s="77">
        <f>(C4+D4+E4)/3</f>
        <v/>
      </c>
      <c r="O4" s="77">
        <f>(C4+D4)/2</f>
        <v/>
      </c>
      <c r="P4" s="77">
        <f>(N4-O4)+N4</f>
        <v/>
      </c>
      <c r="Q4" s="77">
        <f>2*N4-D4</f>
        <v/>
      </c>
      <c r="R4" s="77">
        <f>N4+(C4-D4)</f>
        <v/>
      </c>
      <c r="S4" s="77">
        <f>(2*N4)-C4</f>
        <v/>
      </c>
      <c r="T4" s="77">
        <f>N4-(C4-D4)</f>
        <v/>
      </c>
      <c r="U4" s="70">
        <f>(G4+H4+I4)/3</f>
        <v/>
      </c>
      <c r="V4" s="70">
        <f>(G4+H4)/2</f>
        <v/>
      </c>
      <c r="W4" s="70">
        <f>(U4-V4)+U4</f>
        <v/>
      </c>
      <c r="X4" s="70">
        <f>2*U4-H4</f>
        <v/>
      </c>
      <c r="Y4" s="70">
        <f>U4+(G4-H4)</f>
        <v/>
      </c>
      <c r="Z4" s="70">
        <f>(2*U4)-G4</f>
        <v/>
      </c>
      <c r="AA4" s="70">
        <f>U4-(G4-H4)</f>
        <v/>
      </c>
      <c r="AD4" s="5">
        <f>E4-I4</f>
        <v/>
      </c>
    </row>
    <row r="5">
      <c r="A5" s="11" t="n">
        <v>21150</v>
      </c>
      <c r="B5" s="12" t="n">
        <v>0</v>
      </c>
      <c r="C5" s="12" t="n">
        <v>0</v>
      </c>
      <c r="D5" s="12" t="n">
        <v>0</v>
      </c>
      <c r="E5" s="13" t="n">
        <v>1589.45</v>
      </c>
      <c r="F5" s="14" t="n">
        <v>0</v>
      </c>
      <c r="G5" s="14" t="n">
        <v>0</v>
      </c>
      <c r="H5" s="14" t="n">
        <v>0</v>
      </c>
      <c r="I5" s="15" t="n">
        <v>0.05</v>
      </c>
      <c r="J5" s="16" t="n"/>
      <c r="K5" s="16" t="n"/>
      <c r="L5" s="17">
        <f>A5+E5</f>
        <v/>
      </c>
      <c r="M5" s="18">
        <f>A5-I5</f>
        <v/>
      </c>
      <c r="N5" s="77">
        <f>(C5+D5+E5)/3</f>
        <v/>
      </c>
      <c r="O5" s="77">
        <f>(C5+D5)/2</f>
        <v/>
      </c>
      <c r="P5" s="77">
        <f>(N5-O5)+N5</f>
        <v/>
      </c>
      <c r="Q5" s="77">
        <f>2*N5-D5</f>
        <v/>
      </c>
      <c r="R5" s="77">
        <f>N5+(C5-D5)</f>
        <v/>
      </c>
      <c r="S5" s="77">
        <f>(2*N5)-C5</f>
        <v/>
      </c>
      <c r="T5" s="77">
        <f>N5-(C5-D5)</f>
        <v/>
      </c>
      <c r="U5" s="70">
        <f>(G5+H5+I5)/3</f>
        <v/>
      </c>
      <c r="V5" s="70">
        <f>(G5+H5)/2</f>
        <v/>
      </c>
      <c r="W5" s="70">
        <f>(U5-V5)+U5</f>
        <v/>
      </c>
      <c r="X5" s="70">
        <f>2*U5-H5</f>
        <v/>
      </c>
      <c r="Y5" s="70">
        <f>U5+(G5-H5)</f>
        <v/>
      </c>
      <c r="Z5" s="70">
        <f>(2*U5)-G5</f>
        <v/>
      </c>
      <c r="AA5" s="70">
        <f>U5-(G5-H5)</f>
        <v/>
      </c>
      <c r="AD5" s="5">
        <f>E5-I5</f>
        <v/>
      </c>
    </row>
    <row r="6">
      <c r="A6" s="19" t="n">
        <v>21200</v>
      </c>
      <c r="B6" s="12" t="n">
        <v>0</v>
      </c>
      <c r="C6" s="12" t="n">
        <v>0</v>
      </c>
      <c r="D6" s="12" t="n">
        <v>0</v>
      </c>
      <c r="E6" s="13" t="n">
        <v>2269</v>
      </c>
      <c r="F6" s="14" t="n">
        <v>20.1</v>
      </c>
      <c r="G6" s="14" t="n">
        <v>20.1</v>
      </c>
      <c r="H6" s="14" t="n">
        <v>20.1</v>
      </c>
      <c r="I6" s="15" t="n">
        <v>20.1</v>
      </c>
      <c r="J6" s="16" t="n"/>
      <c r="K6" s="16" t="n"/>
      <c r="L6" s="17">
        <f>A6+E6</f>
        <v/>
      </c>
      <c r="M6" s="18">
        <f>A6-I6</f>
        <v/>
      </c>
      <c r="N6" s="77">
        <f>(C6+D6+E6)/3</f>
        <v/>
      </c>
      <c r="O6" s="77">
        <f>(C6+D6)/2</f>
        <v/>
      </c>
      <c r="P6" s="77">
        <f>(N6-O6)+N6</f>
        <v/>
      </c>
      <c r="Q6" s="77">
        <f>2*N6-D6</f>
        <v/>
      </c>
      <c r="R6" s="77">
        <f>N6+(C6-D6)</f>
        <v/>
      </c>
      <c r="S6" s="77">
        <f>(2*N6)-C6</f>
        <v/>
      </c>
      <c r="T6" s="77">
        <f>N6-(C6-D6)</f>
        <v/>
      </c>
      <c r="U6" s="70">
        <f>(G6+H6+I6)/3</f>
        <v/>
      </c>
      <c r="V6" s="70">
        <f>(G6+H6)/2</f>
        <v/>
      </c>
      <c r="W6" s="70">
        <f>(U6-V6)+U6</f>
        <v/>
      </c>
      <c r="X6" s="70">
        <f>2*U6-H6</f>
        <v/>
      </c>
      <c r="Y6" s="70">
        <f>U6+(G6-H6)</f>
        <v/>
      </c>
      <c r="Z6" s="70">
        <f>(2*U6)-G6</f>
        <v/>
      </c>
      <c r="AA6" s="70">
        <f>U6-(G6-H6)</f>
        <v/>
      </c>
      <c r="AD6" s="5">
        <f>E6-I6</f>
        <v/>
      </c>
    </row>
    <row r="7">
      <c r="A7" s="11" t="n">
        <v>21250</v>
      </c>
      <c r="B7" s="12" t="n">
        <v>0</v>
      </c>
      <c r="C7" s="12" t="n">
        <v>0</v>
      </c>
      <c r="D7" s="12" t="n">
        <v>0</v>
      </c>
      <c r="E7" s="13" t="n">
        <v>2182.3</v>
      </c>
      <c r="F7" s="14" t="n">
        <v>0</v>
      </c>
      <c r="G7" s="14" t="n">
        <v>0</v>
      </c>
      <c r="H7" s="14" t="n">
        <v>0</v>
      </c>
      <c r="I7" s="15" t="n">
        <v>0.05</v>
      </c>
      <c r="J7" s="16" t="n"/>
      <c r="K7" s="16" t="n"/>
      <c r="L7" s="17">
        <f>A7+E7</f>
        <v/>
      </c>
      <c r="M7" s="18">
        <f>A7-I7</f>
        <v/>
      </c>
      <c r="N7" s="77">
        <f>(C7+D7+E7)/3</f>
        <v/>
      </c>
      <c r="O7" s="77">
        <f>(C7+D7)/2</f>
        <v/>
      </c>
      <c r="P7" s="77">
        <f>(N7-O7)+N7</f>
        <v/>
      </c>
      <c r="Q7" s="77">
        <f>2*N7-D7</f>
        <v/>
      </c>
      <c r="R7" s="77">
        <f>N7+(C7-D7)</f>
        <v/>
      </c>
      <c r="S7" s="77">
        <f>(2*N7)-C7</f>
        <v/>
      </c>
      <c r="T7" s="77">
        <f>N7-(C7-D7)</f>
        <v/>
      </c>
      <c r="U7" s="70">
        <f>(G7+H7+I7)/3</f>
        <v/>
      </c>
      <c r="V7" s="70">
        <f>(G7+H7)/2</f>
        <v/>
      </c>
      <c r="W7" s="70">
        <f>(U7-V7)+U7</f>
        <v/>
      </c>
      <c r="X7" s="70">
        <f>2*U7-H7</f>
        <v/>
      </c>
      <c r="Y7" s="70">
        <f>U7+(G7-H7)</f>
        <v/>
      </c>
      <c r="Z7" s="70">
        <f>(2*U7)-G7</f>
        <v/>
      </c>
      <c r="AA7" s="70">
        <f>U7-(G7-H7)</f>
        <v/>
      </c>
      <c r="AD7" s="5">
        <f>E7-I7</f>
        <v/>
      </c>
    </row>
    <row r="8">
      <c r="A8" s="19" t="n">
        <v>21300</v>
      </c>
      <c r="B8" s="12" t="n">
        <v>0</v>
      </c>
      <c r="C8" s="12" t="n">
        <v>0</v>
      </c>
      <c r="D8" s="12" t="n">
        <v>0</v>
      </c>
      <c r="E8" s="13" t="n">
        <v>1480</v>
      </c>
      <c r="F8" s="14" t="n">
        <v>0</v>
      </c>
      <c r="G8" s="14" t="n">
        <v>0</v>
      </c>
      <c r="H8" s="14" t="n">
        <v>0</v>
      </c>
      <c r="I8" s="15" t="n">
        <v>0.05</v>
      </c>
      <c r="J8" s="16" t="n"/>
      <c r="K8" s="16" t="n"/>
      <c r="L8" s="17">
        <f>A8+E8</f>
        <v/>
      </c>
      <c r="M8" s="18">
        <f>A8-I8</f>
        <v/>
      </c>
      <c r="N8" s="77">
        <f>(C8+D8+E8)/3</f>
        <v/>
      </c>
      <c r="O8" s="77">
        <f>(C8+D8)/2</f>
        <v/>
      </c>
      <c r="P8" s="77">
        <f>(N8-O8)+N8</f>
        <v/>
      </c>
      <c r="Q8" s="77">
        <f>2*N8-D8</f>
        <v/>
      </c>
      <c r="R8" s="77">
        <f>N8+(C8-D8)</f>
        <v/>
      </c>
      <c r="S8" s="77">
        <f>(2*N8)-C8</f>
        <v/>
      </c>
      <c r="T8" s="77">
        <f>N8-(C8-D8)</f>
        <v/>
      </c>
      <c r="U8" s="70">
        <f>(G8+H8+I8)/3</f>
        <v/>
      </c>
      <c r="V8" s="70">
        <f>(G8+H8)/2</f>
        <v/>
      </c>
      <c r="W8" s="70">
        <f>(U8-V8)+U8</f>
        <v/>
      </c>
      <c r="X8" s="70">
        <f>2*U8-H8</f>
        <v/>
      </c>
      <c r="Y8" s="70">
        <f>U8+(G8-H8)</f>
        <v/>
      </c>
      <c r="Z8" s="70">
        <f>(2*U8)-G8</f>
        <v/>
      </c>
      <c r="AA8" s="70">
        <f>U8-(G8-H8)</f>
        <v/>
      </c>
      <c r="AD8" s="5">
        <f>E8-I8</f>
        <v/>
      </c>
    </row>
    <row r="9">
      <c r="A9" s="11" t="n">
        <v>21350</v>
      </c>
      <c r="B9" s="12" t="n">
        <v>0</v>
      </c>
      <c r="C9" s="12" t="n">
        <v>0</v>
      </c>
      <c r="D9" s="12" t="n">
        <v>0</v>
      </c>
      <c r="E9" s="13" t="n">
        <v>1438</v>
      </c>
      <c r="F9" s="14" t="n">
        <v>0</v>
      </c>
      <c r="G9" s="14" t="n">
        <v>0</v>
      </c>
      <c r="H9" s="14" t="n">
        <v>0</v>
      </c>
      <c r="I9" s="15" t="n">
        <v>0.05</v>
      </c>
      <c r="J9" s="16" t="n"/>
      <c r="K9" s="16" t="n"/>
      <c r="L9" s="17">
        <f>A9+E9</f>
        <v/>
      </c>
      <c r="M9" s="18">
        <f>A9-I9</f>
        <v/>
      </c>
      <c r="N9" s="77">
        <f>(C9+D9+E9)/3</f>
        <v/>
      </c>
      <c r="O9" s="77">
        <f>(C9+D9)/2</f>
        <v/>
      </c>
      <c r="P9" s="77">
        <f>(N9-O9)+N9</f>
        <v/>
      </c>
      <c r="Q9" s="77">
        <f>2*N9-D9</f>
        <v/>
      </c>
      <c r="R9" s="77">
        <f>N9+(C9-D9)</f>
        <v/>
      </c>
      <c r="S9" s="77">
        <f>(2*N9)-C9</f>
        <v/>
      </c>
      <c r="T9" s="77">
        <f>N9-(C9-D9)</f>
        <v/>
      </c>
      <c r="U9" s="70">
        <f>(G9+H9+I9)/3</f>
        <v/>
      </c>
      <c r="V9" s="70">
        <f>(G9+H9)/2</f>
        <v/>
      </c>
      <c r="W9" s="70">
        <f>(U9-V9)+U9</f>
        <v/>
      </c>
      <c r="X9" s="70">
        <f>2*U9-H9</f>
        <v/>
      </c>
      <c r="Y9" s="70">
        <f>U9+(G9-H9)</f>
        <v/>
      </c>
      <c r="Z9" s="70">
        <f>(2*U9)-G9</f>
        <v/>
      </c>
      <c r="AA9" s="70">
        <f>U9-(G9-H9)</f>
        <v/>
      </c>
      <c r="AD9" s="5">
        <f>E9-I9</f>
        <v/>
      </c>
    </row>
    <row r="10" ht="13.8" customHeight="1">
      <c r="A10" s="19" t="n">
        <v>21400</v>
      </c>
      <c r="B10" s="12" t="n">
        <v>0</v>
      </c>
      <c r="C10" s="12" t="n">
        <v>0</v>
      </c>
      <c r="D10" s="12" t="n">
        <v>0</v>
      </c>
      <c r="E10" s="13" t="n">
        <v>1396.9</v>
      </c>
      <c r="F10" s="14" t="n">
        <v>0</v>
      </c>
      <c r="G10" s="14" t="n">
        <v>0</v>
      </c>
      <c r="H10" s="14" t="n">
        <v>0</v>
      </c>
      <c r="I10" s="15" t="n">
        <v>0.05</v>
      </c>
      <c r="J10" s="16" t="n"/>
      <c r="K10" s="16" t="n"/>
      <c r="L10" s="17">
        <f>A10+E10</f>
        <v/>
      </c>
      <c r="M10" s="18">
        <f>A10-I10</f>
        <v/>
      </c>
      <c r="N10" s="77">
        <f>(C10+D10+E10)/3</f>
        <v/>
      </c>
      <c r="O10" s="77">
        <f>(C10+D10)/2</f>
        <v/>
      </c>
      <c r="P10" s="77">
        <f>(N10-O10)+N10</f>
        <v/>
      </c>
      <c r="Q10" s="77">
        <f>2*N10-D10</f>
        <v/>
      </c>
      <c r="R10" s="77">
        <f>N10+(C10-D10)</f>
        <v/>
      </c>
      <c r="S10" s="77">
        <f>(2*N10)-C10</f>
        <v/>
      </c>
      <c r="T10" s="77">
        <f>N10-(C10-D10)</f>
        <v/>
      </c>
      <c r="U10" s="70">
        <f>(G10+H10+I10)/3</f>
        <v/>
      </c>
      <c r="V10" s="70">
        <f>(G10+H10)/2</f>
        <v/>
      </c>
      <c r="W10" s="70">
        <f>(U10-V10)+U10</f>
        <v/>
      </c>
      <c r="X10" s="70">
        <f>2*U10-H10</f>
        <v/>
      </c>
      <c r="Y10" s="70">
        <f>U10+(G10-H10)</f>
        <v/>
      </c>
      <c r="Z10" s="70">
        <f>(2*U10)-G10</f>
        <v/>
      </c>
      <c r="AA10" s="70">
        <f>U10-(G10-H10)</f>
        <v/>
      </c>
      <c r="AD10" s="5">
        <f>E10-I10</f>
        <v/>
      </c>
    </row>
    <row r="11">
      <c r="A11" s="11" t="n">
        <v>21450</v>
      </c>
      <c r="B11" s="12" t="n">
        <v>1723.65</v>
      </c>
      <c r="C11" s="12" t="n">
        <v>1731.4</v>
      </c>
      <c r="D11" s="12" t="n">
        <v>1723.65</v>
      </c>
      <c r="E11" s="13" t="n">
        <v>1731.4</v>
      </c>
      <c r="F11" s="14" t="n">
        <v>0</v>
      </c>
      <c r="G11" s="14" t="n">
        <v>0</v>
      </c>
      <c r="H11" s="14" t="n">
        <v>0</v>
      </c>
      <c r="I11" s="15" t="n">
        <v>0.1</v>
      </c>
      <c r="J11" s="16" t="n"/>
      <c r="K11" s="16" t="n"/>
      <c r="L11" s="17">
        <f>A11+E11</f>
        <v/>
      </c>
      <c r="M11" s="18">
        <f>A11-I11</f>
        <v/>
      </c>
      <c r="N11" s="77">
        <f>(C11+D11+E11)/3</f>
        <v/>
      </c>
      <c r="O11" s="77">
        <f>(C11+D11)/2</f>
        <v/>
      </c>
      <c r="P11" s="77">
        <f>(N11-O11)+N11</f>
        <v/>
      </c>
      <c r="Q11" s="77">
        <f>2*N11-D11</f>
        <v/>
      </c>
      <c r="R11" s="77">
        <f>N11+(C11-D11)</f>
        <v/>
      </c>
      <c r="S11" s="77">
        <f>(2*N11)-C11</f>
        <v/>
      </c>
      <c r="T11" s="77">
        <f>N11-(C11-D11)</f>
        <v/>
      </c>
      <c r="U11" s="70">
        <f>(G11+H11+I11)/3</f>
        <v/>
      </c>
      <c r="V11" s="70">
        <f>(G11+H11)/2</f>
        <v/>
      </c>
      <c r="W11" s="70">
        <f>(U11-V11)+U11</f>
        <v/>
      </c>
      <c r="X11" s="70">
        <f>2*U11-H11</f>
        <v/>
      </c>
      <c r="Y11" s="70">
        <f>U11+(G11-H11)</f>
        <v/>
      </c>
      <c r="Z11" s="70">
        <f>(2*U11)-G11</f>
        <v/>
      </c>
      <c r="AA11" s="70">
        <f>U11-(G11-H11)</f>
        <v/>
      </c>
      <c r="AD11" s="5">
        <f>E11-I11</f>
        <v/>
      </c>
    </row>
    <row r="12">
      <c r="A12" s="19" t="n">
        <v>21500</v>
      </c>
      <c r="B12" s="12" t="n">
        <v>1692.7</v>
      </c>
      <c r="C12" s="12" t="n">
        <v>1692.7</v>
      </c>
      <c r="D12" s="12" t="n">
        <v>1446.95</v>
      </c>
      <c r="E12" s="13" t="n">
        <v>1458.35</v>
      </c>
      <c r="F12" s="14" t="n">
        <v>92.90000000000001</v>
      </c>
      <c r="G12" s="14" t="n">
        <v>126.85</v>
      </c>
      <c r="H12" s="14" t="n">
        <v>73.05</v>
      </c>
      <c r="I12" s="15" t="n">
        <v>119.2</v>
      </c>
      <c r="J12" s="16" t="n"/>
      <c r="K12" s="16" t="n"/>
      <c r="L12" s="17">
        <f>A12+E12</f>
        <v/>
      </c>
      <c r="M12" s="18">
        <f>A12-I12</f>
        <v/>
      </c>
      <c r="N12" s="77">
        <f>(C12+D12+E12)/3</f>
        <v/>
      </c>
      <c r="O12" s="77">
        <f>(C12+D12)/2</f>
        <v/>
      </c>
      <c r="P12" s="77">
        <f>(N12-O12)+N12</f>
        <v/>
      </c>
      <c r="Q12" s="77">
        <f>2*N12-D12</f>
        <v/>
      </c>
      <c r="R12" s="77">
        <f>N12+(C12-D12)</f>
        <v/>
      </c>
      <c r="S12" s="77">
        <f>(2*N12)-C12</f>
        <v/>
      </c>
      <c r="T12" s="77">
        <f>N12-(C12-D12)</f>
        <v/>
      </c>
      <c r="U12" s="70">
        <f>(G12+H12+I12)/3</f>
        <v/>
      </c>
      <c r="V12" s="70">
        <f>(G12+H12)/2</f>
        <v/>
      </c>
      <c r="W12" s="70">
        <f>(U12-V12)+U12</f>
        <v/>
      </c>
      <c r="X12" s="70">
        <f>2*U12-H12</f>
        <v/>
      </c>
      <c r="Y12" s="70">
        <f>U12+(G12-H12)</f>
        <v/>
      </c>
      <c r="Z12" s="70">
        <f>(2*U12)-G12</f>
        <v/>
      </c>
      <c r="AA12" s="70">
        <f>U12-(G12-H12)</f>
        <v/>
      </c>
      <c r="AD12" s="5">
        <f>E12-I12</f>
        <v/>
      </c>
    </row>
    <row r="13">
      <c r="A13" s="11" t="n">
        <v>21550</v>
      </c>
      <c r="B13" s="12" t="n">
        <v>0</v>
      </c>
      <c r="C13" s="12" t="n">
        <v>0</v>
      </c>
      <c r="D13" s="12" t="n">
        <v>0</v>
      </c>
      <c r="E13" s="13" t="n">
        <v>1268.9</v>
      </c>
      <c r="F13" s="14" t="n">
        <v>0</v>
      </c>
      <c r="G13" s="14" t="n">
        <v>0</v>
      </c>
      <c r="H13" s="14" t="n">
        <v>0</v>
      </c>
      <c r="I13" s="15" t="n">
        <v>0.1</v>
      </c>
      <c r="J13" s="16" t="n"/>
      <c r="K13" s="16" t="n"/>
      <c r="L13" s="17">
        <f>A13+E13</f>
        <v/>
      </c>
      <c r="M13" s="18">
        <f>A13-I13</f>
        <v/>
      </c>
      <c r="N13" s="77">
        <f>(C13+D13+E13)/3</f>
        <v/>
      </c>
      <c r="O13" s="77">
        <f>(C13+D13)/2</f>
        <v/>
      </c>
      <c r="P13" s="77">
        <f>(N13-O13)+N13</f>
        <v/>
      </c>
      <c r="Q13" s="77">
        <f>2*N13-D13</f>
        <v/>
      </c>
      <c r="R13" s="77">
        <f>N13+(C13-D13)</f>
        <v/>
      </c>
      <c r="S13" s="77">
        <f>(2*N13)-C13</f>
        <v/>
      </c>
      <c r="T13" s="77">
        <f>N13-(C13-D13)</f>
        <v/>
      </c>
      <c r="U13" s="70">
        <f>(G13+H13+I13)/3</f>
        <v/>
      </c>
      <c r="V13" s="70">
        <f>(G13+H13)/2</f>
        <v/>
      </c>
      <c r="W13" s="70">
        <f>(U13-V13)+U13</f>
        <v/>
      </c>
      <c r="X13" s="70">
        <f>2*U13-H13</f>
        <v/>
      </c>
      <c r="Y13" s="70">
        <f>U13+(G13-H13)</f>
        <v/>
      </c>
      <c r="Z13" s="70">
        <f>(2*U13)-G13</f>
        <v/>
      </c>
      <c r="AA13" s="70">
        <f>U13-(G13-H13)</f>
        <v/>
      </c>
      <c r="AD13" s="5">
        <f>E13-I13</f>
        <v/>
      </c>
    </row>
    <row r="14">
      <c r="A14" s="19" t="n">
        <v>21600</v>
      </c>
      <c r="B14" s="12" t="n">
        <v>1585.85</v>
      </c>
      <c r="C14" s="12" t="n">
        <v>1585.85</v>
      </c>
      <c r="D14" s="12" t="n">
        <v>1400</v>
      </c>
      <c r="E14" s="13" t="n">
        <v>1400</v>
      </c>
      <c r="F14" s="14" t="n">
        <v>0</v>
      </c>
      <c r="G14" s="14" t="n">
        <v>0</v>
      </c>
      <c r="H14" s="14" t="n">
        <v>0</v>
      </c>
      <c r="I14" s="15" t="n">
        <v>0.15</v>
      </c>
      <c r="J14" s="16">
        <f>(E14+I14)/2</f>
        <v/>
      </c>
      <c r="K14" s="16">
        <f>(E16+I12)/2</f>
        <v/>
      </c>
      <c r="L14" s="17">
        <f>A14+E14</f>
        <v/>
      </c>
      <c r="M14" s="18">
        <f>A14-I14</f>
        <v/>
      </c>
      <c r="N14" s="77">
        <f>(C14+D14+E14)/3</f>
        <v/>
      </c>
      <c r="O14" s="77">
        <f>(C14+D14)/2</f>
        <v/>
      </c>
      <c r="P14" s="77">
        <f>(N14-O14)+N14</f>
        <v/>
      </c>
      <c r="Q14" s="77">
        <f>2*N14-D14</f>
        <v/>
      </c>
      <c r="R14" s="77">
        <f>N14+(C14-D14)</f>
        <v/>
      </c>
      <c r="S14" s="77">
        <f>(2*N14)-C14</f>
        <v/>
      </c>
      <c r="T14" s="77">
        <f>N14-(C14-D14)</f>
        <v/>
      </c>
      <c r="U14" s="70">
        <f>(G14+H14+I14)/3</f>
        <v/>
      </c>
      <c r="V14" s="70">
        <f>(G14+H14)/2</f>
        <v/>
      </c>
      <c r="W14" s="70">
        <f>(U14-V14)+U14</f>
        <v/>
      </c>
      <c r="X14" s="70">
        <f>2*U14-H14</f>
        <v/>
      </c>
      <c r="Y14" s="70">
        <f>U14+(G14-H14)</f>
        <v/>
      </c>
      <c r="Z14" s="70">
        <f>(2*U14)-G14</f>
        <v/>
      </c>
      <c r="AA14" s="70">
        <f>U14-(G14-H14)</f>
        <v/>
      </c>
      <c r="AD14" s="5">
        <f>E14-I14</f>
        <v/>
      </c>
    </row>
    <row r="15">
      <c r="A15" s="11" t="n">
        <v>21650</v>
      </c>
      <c r="B15" s="12" t="n">
        <v>0</v>
      </c>
      <c r="C15" s="12" t="n">
        <v>0</v>
      </c>
      <c r="D15" s="12" t="n">
        <v>0</v>
      </c>
      <c r="E15" s="13" t="n">
        <v>1190.2</v>
      </c>
      <c r="F15" s="14" t="n">
        <v>70.5</v>
      </c>
      <c r="G15" s="14" t="n">
        <v>103.15</v>
      </c>
      <c r="H15" s="14" t="n">
        <v>70.5</v>
      </c>
      <c r="I15" s="15" t="n">
        <v>103.15</v>
      </c>
      <c r="J15" s="16">
        <f>(E15+I15)/2</f>
        <v/>
      </c>
      <c r="K15" s="16">
        <f>(E17+I13)/2</f>
        <v/>
      </c>
      <c r="L15" s="17">
        <f>A15+E15</f>
        <v/>
      </c>
      <c r="M15" s="18">
        <f>A15-I15</f>
        <v/>
      </c>
      <c r="N15" s="77">
        <f>(C15+D15+E15)/3</f>
        <v/>
      </c>
      <c r="O15" s="77">
        <f>(C15+D15)/2</f>
        <v/>
      </c>
      <c r="P15" s="77">
        <f>(N15-O15)+N15</f>
        <v/>
      </c>
      <c r="Q15" s="77">
        <f>2*N15-D15</f>
        <v/>
      </c>
      <c r="R15" s="77">
        <f>N15+(C15-D15)</f>
        <v/>
      </c>
      <c r="S15" s="77">
        <f>(2*N15)-C15</f>
        <v/>
      </c>
      <c r="T15" s="77">
        <f>N15-(C15-D15)</f>
        <v/>
      </c>
      <c r="U15" s="70">
        <f>(G15+H15+I15)/3</f>
        <v/>
      </c>
      <c r="V15" s="70">
        <f>(G15+H15)/2</f>
        <v/>
      </c>
      <c r="W15" s="70">
        <f>(U15-V15)+U15</f>
        <v/>
      </c>
      <c r="X15" s="70">
        <f>2*U15-H15</f>
        <v/>
      </c>
      <c r="Y15" s="70">
        <f>U15+(G15-H15)</f>
        <v/>
      </c>
      <c r="Z15" s="70">
        <f>(2*U15)-G15</f>
        <v/>
      </c>
      <c r="AA15" s="70">
        <f>U15-(G15-H15)</f>
        <v/>
      </c>
      <c r="AD15" s="5">
        <f>E15-I15</f>
        <v/>
      </c>
    </row>
    <row r="16">
      <c r="A16" s="19" t="n">
        <v>21700</v>
      </c>
      <c r="B16" s="12" t="n">
        <v>1257</v>
      </c>
      <c r="C16" s="12" t="n">
        <v>1368.95</v>
      </c>
      <c r="D16" s="12" t="n">
        <v>1257</v>
      </c>
      <c r="E16" s="13" t="n">
        <v>1285</v>
      </c>
      <c r="F16" s="14" t="n">
        <v>94.45</v>
      </c>
      <c r="G16" s="14" t="n">
        <v>157.85</v>
      </c>
      <c r="H16" s="14" t="n">
        <v>91.05</v>
      </c>
      <c r="I16" s="15" t="n">
        <v>149.4</v>
      </c>
      <c r="J16" s="16">
        <f>(E16+I16)/2</f>
        <v/>
      </c>
      <c r="K16" s="16">
        <f>(E18+I14)/2</f>
        <v/>
      </c>
      <c r="L16" s="17">
        <f>A16+E16</f>
        <v/>
      </c>
      <c r="M16" s="18">
        <f>A16-I16</f>
        <v/>
      </c>
      <c r="N16" s="77">
        <f>(C16+D16+E16)/3</f>
        <v/>
      </c>
      <c r="O16" s="77">
        <f>(C16+D16)/2</f>
        <v/>
      </c>
      <c r="P16" s="77">
        <f>(N16-O16)+N16</f>
        <v/>
      </c>
      <c r="Q16" s="77">
        <f>2*N16-D16</f>
        <v/>
      </c>
      <c r="R16" s="77">
        <f>N16+(C16-D16)</f>
        <v/>
      </c>
      <c r="S16" s="77">
        <f>(2*N16)-C16</f>
        <v/>
      </c>
      <c r="T16" s="77">
        <f>N16-(C16-D16)</f>
        <v/>
      </c>
      <c r="U16" s="70">
        <f>(G16+H16+I16)/3</f>
        <v/>
      </c>
      <c r="V16" s="70">
        <f>(G16+H16)/2</f>
        <v/>
      </c>
      <c r="W16" s="70">
        <f>(U16-V16)+U16</f>
        <v/>
      </c>
      <c r="X16" s="70">
        <f>2*U16-H16</f>
        <v/>
      </c>
      <c r="Y16" s="70">
        <f>U16+(G16-H16)</f>
        <v/>
      </c>
      <c r="Z16" s="70">
        <f>(2*U16)-G16</f>
        <v/>
      </c>
      <c r="AA16" s="70">
        <f>U16-(G16-H16)</f>
        <v/>
      </c>
      <c r="AD16" s="5">
        <f>E16-I16</f>
        <v/>
      </c>
    </row>
    <row r="17">
      <c r="A17" s="11" t="n">
        <v>21750</v>
      </c>
      <c r="B17" s="12" t="n">
        <v>0</v>
      </c>
      <c r="C17" s="12" t="n">
        <v>0</v>
      </c>
      <c r="D17" s="12" t="n">
        <v>0</v>
      </c>
      <c r="E17" s="13" t="n">
        <v>2496.25</v>
      </c>
      <c r="F17" s="14" t="n">
        <v>66.45</v>
      </c>
      <c r="G17" s="14" t="n">
        <v>168.75</v>
      </c>
      <c r="H17" s="14" t="n">
        <v>66.45</v>
      </c>
      <c r="I17" s="15" t="n">
        <v>158.65</v>
      </c>
      <c r="J17" s="16">
        <f>(E17+I17)/2</f>
        <v/>
      </c>
      <c r="K17" s="16">
        <f>(E19+I15)/2</f>
        <v/>
      </c>
      <c r="L17" s="17">
        <f>A17+E17</f>
        <v/>
      </c>
      <c r="M17" s="18">
        <f>A17-I17</f>
        <v/>
      </c>
      <c r="N17" s="77">
        <f>(C17+D17+E17)/3</f>
        <v/>
      </c>
      <c r="O17" s="77">
        <f>(C17+D17)/2</f>
        <v/>
      </c>
      <c r="P17" s="77">
        <f>(N17-O17)+N17</f>
        <v/>
      </c>
      <c r="Q17" s="77">
        <f>2*N17-D17</f>
        <v/>
      </c>
      <c r="R17" s="77">
        <f>N17+(C17-D17)</f>
        <v/>
      </c>
      <c r="S17" s="77">
        <f>(2*N17)-C17</f>
        <v/>
      </c>
      <c r="T17" s="77">
        <f>N17-(C17-D17)</f>
        <v/>
      </c>
      <c r="U17" s="70">
        <f>(G17+H17+I17)/3</f>
        <v/>
      </c>
      <c r="V17" s="70">
        <f>(G17+H17)/2</f>
        <v/>
      </c>
      <c r="W17" s="70">
        <f>(U17-V17)+U17</f>
        <v/>
      </c>
      <c r="X17" s="70">
        <f>2*U17-H17</f>
        <v/>
      </c>
      <c r="Y17" s="70">
        <f>U17+(G17-H17)</f>
        <v/>
      </c>
      <c r="Z17" s="70">
        <f>(2*U17)-G17</f>
        <v/>
      </c>
      <c r="AA17" s="70">
        <f>U17-(G17-H17)</f>
        <v/>
      </c>
      <c r="AD17" s="5">
        <f>E17-I17</f>
        <v/>
      </c>
    </row>
    <row r="18">
      <c r="A18" s="19" t="n">
        <v>21800</v>
      </c>
      <c r="B18" s="12" t="n">
        <v>1306</v>
      </c>
      <c r="C18" s="12" t="n">
        <v>1306</v>
      </c>
      <c r="D18" s="12" t="n">
        <v>1184.85</v>
      </c>
      <c r="E18" s="13" t="n">
        <v>1190.45</v>
      </c>
      <c r="F18" s="14" t="n">
        <v>109.5</v>
      </c>
      <c r="G18" s="14" t="n">
        <v>175.3</v>
      </c>
      <c r="H18" s="14" t="n">
        <v>100.1</v>
      </c>
      <c r="I18" s="15" t="n">
        <v>166.7</v>
      </c>
      <c r="J18" s="16">
        <f>(E18+I18)/2</f>
        <v/>
      </c>
      <c r="K18" s="16">
        <f>(E20+I16)/2</f>
        <v/>
      </c>
      <c r="L18" s="17">
        <f>A18+E18</f>
        <v/>
      </c>
      <c r="M18" s="18">
        <f>A18-I18</f>
        <v/>
      </c>
      <c r="N18" s="77">
        <f>(C18+D18+E18)/3</f>
        <v/>
      </c>
      <c r="O18" s="77">
        <f>(C18+D18)/2</f>
        <v/>
      </c>
      <c r="P18" s="77">
        <f>(N18-O18)+N18</f>
        <v/>
      </c>
      <c r="Q18" s="77">
        <f>2*N18-D18</f>
        <v/>
      </c>
      <c r="R18" s="77">
        <f>N18+(C18-D18)</f>
        <v/>
      </c>
      <c r="S18" s="77">
        <f>(2*N18)-C18</f>
        <v/>
      </c>
      <c r="T18" s="77">
        <f>N18-(C18-D18)</f>
        <v/>
      </c>
      <c r="U18" s="70">
        <f>(G18+H18+I18)/3</f>
        <v/>
      </c>
      <c r="V18" s="70">
        <f>(G18+H18)/2</f>
        <v/>
      </c>
      <c r="W18" s="70">
        <f>(U18-V18)+U18</f>
        <v/>
      </c>
      <c r="X18" s="70">
        <f>2*U18-H18</f>
        <v/>
      </c>
      <c r="Y18" s="70">
        <f>U18+(G18-H18)</f>
        <v/>
      </c>
      <c r="Z18" s="70">
        <f>(2*U18)-G18</f>
        <v/>
      </c>
      <c r="AA18" s="70">
        <f>U18-(G18-H18)</f>
        <v/>
      </c>
      <c r="AD18" s="5">
        <f>E18-I18</f>
        <v/>
      </c>
    </row>
    <row r="19">
      <c r="A19" s="11" t="n">
        <v>21850</v>
      </c>
      <c r="B19" s="12" t="n">
        <v>0</v>
      </c>
      <c r="C19" s="12" t="n">
        <v>0</v>
      </c>
      <c r="D19" s="12" t="n">
        <v>0</v>
      </c>
      <c r="E19" s="13" t="n">
        <v>1245.05</v>
      </c>
      <c r="F19" s="14" t="n">
        <v>87.65000000000001</v>
      </c>
      <c r="G19" s="14" t="n">
        <v>188.45</v>
      </c>
      <c r="H19" s="14" t="n">
        <v>87.65000000000001</v>
      </c>
      <c r="I19" s="15" t="n">
        <v>176.95</v>
      </c>
      <c r="J19" s="16">
        <f>(E19+I19)/2</f>
        <v/>
      </c>
      <c r="K19" s="16">
        <f>(E21+I17)/2</f>
        <v/>
      </c>
      <c r="L19" s="17">
        <f>A19+E19</f>
        <v/>
      </c>
      <c r="M19" s="18">
        <f>A19-I19</f>
        <v/>
      </c>
      <c r="N19" s="77">
        <f>(C19+D19+E19)/3</f>
        <v/>
      </c>
      <c r="O19" s="77">
        <f>(C19+D19)/2</f>
        <v/>
      </c>
      <c r="P19" s="77">
        <f>(N19-O19)+N19</f>
        <v/>
      </c>
      <c r="Q19" s="77">
        <f>2*N19-D19</f>
        <v/>
      </c>
      <c r="R19" s="77">
        <f>N19+(C19-D19)</f>
        <v/>
      </c>
      <c r="S19" s="77">
        <f>(2*N19)-C19</f>
        <v/>
      </c>
      <c r="T19" s="77">
        <f>N19-(C19-D19)</f>
        <v/>
      </c>
      <c r="U19" s="70">
        <f>(G19+H19+I19)/3</f>
        <v/>
      </c>
      <c r="V19" s="70">
        <f>(G19+H19)/2</f>
        <v/>
      </c>
      <c r="W19" s="70">
        <f>(U19-V19)+U19</f>
        <v/>
      </c>
      <c r="X19" s="70">
        <f>2*U19-H19</f>
        <v/>
      </c>
      <c r="Y19" s="70">
        <f>U19+(G19-H19)</f>
        <v/>
      </c>
      <c r="Z19" s="70">
        <f>(2*U19)-G19</f>
        <v/>
      </c>
      <c r="AA19" s="70">
        <f>U19-(G19-H19)</f>
        <v/>
      </c>
      <c r="AD19" s="5">
        <f>E19-I19</f>
        <v/>
      </c>
    </row>
    <row r="20">
      <c r="A20" s="19" t="n">
        <v>21900</v>
      </c>
      <c r="B20" s="12" t="n">
        <v>1364.35</v>
      </c>
      <c r="C20" s="12" t="n">
        <v>1364.35</v>
      </c>
      <c r="D20" s="12" t="n">
        <v>1101.1</v>
      </c>
      <c r="E20" s="13" t="n">
        <v>1117.55</v>
      </c>
      <c r="F20" s="14" t="n">
        <v>120</v>
      </c>
      <c r="G20" s="14" t="n">
        <v>194.75</v>
      </c>
      <c r="H20" s="14" t="n">
        <v>112.85</v>
      </c>
      <c r="I20" s="15" t="n">
        <v>186.6</v>
      </c>
      <c r="J20" s="16">
        <f>(E20+I20)/2</f>
        <v/>
      </c>
      <c r="K20" s="16">
        <f>(E22+I18)/2</f>
        <v/>
      </c>
      <c r="L20" s="17">
        <f>A20+E20</f>
        <v/>
      </c>
      <c r="M20" s="18">
        <f>A20-I20</f>
        <v/>
      </c>
      <c r="N20" s="77">
        <f>(C20+D20+E20)/3</f>
        <v/>
      </c>
      <c r="O20" s="77">
        <f>(C20+D20)/2</f>
        <v/>
      </c>
      <c r="P20" s="77">
        <f>(N20-O20)+N20</f>
        <v/>
      </c>
      <c r="Q20" s="77">
        <f>2*N20-D20</f>
        <v/>
      </c>
      <c r="R20" s="77">
        <f>N20+(C20-D20)</f>
        <v/>
      </c>
      <c r="S20" s="77">
        <f>(2*N20)-C20</f>
        <v/>
      </c>
      <c r="T20" s="77">
        <f>N20-(C20-D20)</f>
        <v/>
      </c>
      <c r="U20" s="70">
        <f>(G20+H20+I20)/3</f>
        <v/>
      </c>
      <c r="V20" s="70">
        <f>(G20+H20)/2</f>
        <v/>
      </c>
      <c r="W20" s="70">
        <f>(U20-V20)+U20</f>
        <v/>
      </c>
      <c r="X20" s="70">
        <f>2*U20-H20</f>
        <v/>
      </c>
      <c r="Y20" s="70">
        <f>U20+(G20-H20)</f>
        <v/>
      </c>
      <c r="Z20" s="70">
        <f>(2*U20)-G20</f>
        <v/>
      </c>
      <c r="AA20" s="70">
        <f>U20-(G20-H20)</f>
        <v/>
      </c>
      <c r="AD20" s="5">
        <f>E20-I20</f>
        <v/>
      </c>
    </row>
    <row r="21">
      <c r="A21" s="11" t="n">
        <v>21950</v>
      </c>
      <c r="B21" s="12" t="n">
        <v>1188.15</v>
      </c>
      <c r="C21" s="12" t="n">
        <v>1188.15</v>
      </c>
      <c r="D21" s="12" t="n">
        <v>1188.15</v>
      </c>
      <c r="E21" s="13" t="n">
        <v>1188.15</v>
      </c>
      <c r="F21" s="14" t="n">
        <v>0</v>
      </c>
      <c r="G21" s="14" t="n">
        <v>0</v>
      </c>
      <c r="H21" s="14" t="n">
        <v>0</v>
      </c>
      <c r="I21" s="15" t="n">
        <v>0.5</v>
      </c>
      <c r="J21" s="16">
        <f>(E21+I21)/2</f>
        <v/>
      </c>
      <c r="K21" s="16">
        <f>(E23+I19)/2</f>
        <v/>
      </c>
      <c r="L21" s="17">
        <f>A21+E21</f>
        <v/>
      </c>
      <c r="M21" s="18">
        <f>A21-I21</f>
        <v/>
      </c>
      <c r="N21" s="77">
        <f>(C21+D21+E21)/3</f>
        <v/>
      </c>
      <c r="O21" s="77">
        <f>(C21+D21)/2</f>
        <v/>
      </c>
      <c r="P21" s="77">
        <f>(N21-O21)+N21</f>
        <v/>
      </c>
      <c r="Q21" s="77">
        <f>2*N21-D21</f>
        <v/>
      </c>
      <c r="R21" s="77">
        <f>N21+(C21-D21)</f>
        <v/>
      </c>
      <c r="S21" s="77">
        <f>(2*N21)-C21</f>
        <v/>
      </c>
      <c r="T21" s="77">
        <f>N21-(C21-D21)</f>
        <v/>
      </c>
      <c r="U21" s="70">
        <f>(G21+H21+I21)/3</f>
        <v/>
      </c>
      <c r="V21" s="70">
        <f>(G21+H21)/2</f>
        <v/>
      </c>
      <c r="W21" s="70">
        <f>(U21-V21)+U21</f>
        <v/>
      </c>
      <c r="X21" s="70">
        <f>2*U21-H21</f>
        <v/>
      </c>
      <c r="Y21" s="70">
        <f>U21+(G21-H21)</f>
        <v/>
      </c>
      <c r="Z21" s="70">
        <f>(2*U21)-G21</f>
        <v/>
      </c>
      <c r="AA21" s="70">
        <f>U21-(G21-H21)</f>
        <v/>
      </c>
      <c r="AD21" s="5">
        <f>E21-I21</f>
        <v/>
      </c>
    </row>
    <row r="22">
      <c r="A22" s="19" t="n">
        <v>22000</v>
      </c>
      <c r="B22" s="12" t="n">
        <v>1260.05</v>
      </c>
      <c r="C22" s="12" t="n">
        <v>1270.5</v>
      </c>
      <c r="D22" s="12" t="n">
        <v>1016.95</v>
      </c>
      <c r="E22" s="13" t="n">
        <v>1036.1</v>
      </c>
      <c r="F22" s="14" t="n">
        <v>118</v>
      </c>
      <c r="G22" s="14" t="n">
        <v>216.4</v>
      </c>
      <c r="H22" s="14" t="n">
        <v>118</v>
      </c>
      <c r="I22" s="15" t="n">
        <v>206.45</v>
      </c>
      <c r="J22" s="16">
        <f>(E22+I22)/2</f>
        <v/>
      </c>
      <c r="K22" s="16">
        <f>(E24+I20)/2</f>
        <v/>
      </c>
      <c r="L22" s="17">
        <f>A22+E22</f>
        <v/>
      </c>
      <c r="M22" s="18">
        <f>A22-I22</f>
        <v/>
      </c>
      <c r="N22" s="77">
        <f>(C22+D22+E22)/3</f>
        <v/>
      </c>
      <c r="O22" s="77">
        <f>(C22+D22)/2</f>
        <v/>
      </c>
      <c r="P22" s="77">
        <f>(N22-O22)+N22</f>
        <v/>
      </c>
      <c r="Q22" s="77">
        <f>2*N22-D22</f>
        <v/>
      </c>
      <c r="R22" s="77">
        <f>N22+(C22-D22)</f>
        <v/>
      </c>
      <c r="S22" s="77">
        <f>(2*N22)-C22</f>
        <v/>
      </c>
      <c r="T22" s="77">
        <f>N22-(C22-D22)</f>
        <v/>
      </c>
      <c r="U22" s="70">
        <f>(G22+H22+I22)/3</f>
        <v/>
      </c>
      <c r="V22" s="70">
        <f>(G22+H22)/2</f>
        <v/>
      </c>
      <c r="W22" s="70">
        <f>(U22-V22)+U22</f>
        <v/>
      </c>
      <c r="X22" s="70">
        <f>2*U22-H22</f>
        <v/>
      </c>
      <c r="Y22" s="70">
        <f>U22+(G22-H22)</f>
        <v/>
      </c>
      <c r="Z22" s="70">
        <f>(2*U22)-G22</f>
        <v/>
      </c>
      <c r="AA22" s="70">
        <f>U22-(G22-H22)</f>
        <v/>
      </c>
      <c r="AD22" s="5">
        <f>E22-I22</f>
        <v/>
      </c>
    </row>
    <row r="23">
      <c r="A23" s="11" t="n">
        <v>22050</v>
      </c>
      <c r="B23" s="12" t="n">
        <v>0</v>
      </c>
      <c r="C23" s="12" t="n">
        <v>0</v>
      </c>
      <c r="D23" s="12" t="n">
        <v>0</v>
      </c>
      <c r="E23" s="13" t="n">
        <v>1372.4</v>
      </c>
      <c r="F23" s="14" t="n">
        <v>47.95</v>
      </c>
      <c r="G23" s="14" t="n">
        <v>47.95</v>
      </c>
      <c r="H23" s="14" t="n">
        <v>47.95</v>
      </c>
      <c r="I23" s="15" t="n">
        <v>47.95</v>
      </c>
      <c r="J23" s="16">
        <f>(E23+I23)/2</f>
        <v/>
      </c>
      <c r="K23" s="16">
        <f>(E25+I21)/2</f>
        <v/>
      </c>
      <c r="L23" s="17">
        <f>A23+E23</f>
        <v/>
      </c>
      <c r="M23" s="18">
        <f>A23-I23</f>
        <v/>
      </c>
      <c r="N23" s="77">
        <f>(C23+D23+E23)/3</f>
        <v/>
      </c>
      <c r="O23" s="77">
        <f>(C23+D23)/2</f>
        <v/>
      </c>
      <c r="P23" s="77">
        <f>(N23-O23)+N23</f>
        <v/>
      </c>
      <c r="Q23" s="77">
        <f>2*N23-D23</f>
        <v/>
      </c>
      <c r="R23" s="77">
        <f>N23+(C23-D23)</f>
        <v/>
      </c>
      <c r="S23" s="77">
        <f>(2*N23)-C23</f>
        <v/>
      </c>
      <c r="T23" s="77">
        <f>N23-(C23-D23)</f>
        <v/>
      </c>
      <c r="U23" s="70">
        <f>(G23+H23+I23)/3</f>
        <v/>
      </c>
      <c r="V23" s="70">
        <f>(G23+H23)/2</f>
        <v/>
      </c>
      <c r="W23" s="70">
        <f>(U23-V23)+U23</f>
        <v/>
      </c>
      <c r="X23" s="70">
        <f>2*U23-H23</f>
        <v/>
      </c>
      <c r="Y23" s="70">
        <f>U23+(G23-H23)</f>
        <v/>
      </c>
      <c r="Z23" s="70">
        <f>(2*U23)-G23</f>
        <v/>
      </c>
      <c r="AA23" s="70">
        <f>U23-(G23-H23)</f>
        <v/>
      </c>
      <c r="AB23" s="5">
        <f>P23-O23</f>
        <v/>
      </c>
      <c r="AC23" s="5">
        <f>W23-V23</f>
        <v/>
      </c>
      <c r="AD23" s="5">
        <f>E23-I23</f>
        <v/>
      </c>
    </row>
    <row r="24">
      <c r="A24" s="19" t="n">
        <v>22100</v>
      </c>
      <c r="B24" s="12" t="n">
        <v>1100</v>
      </c>
      <c r="C24" s="12" t="n">
        <v>1101.15</v>
      </c>
      <c r="D24" s="12" t="n">
        <v>950.05</v>
      </c>
      <c r="E24" s="13" t="n">
        <v>959.05</v>
      </c>
      <c r="F24" s="14" t="n">
        <v>145.45</v>
      </c>
      <c r="G24" s="14" t="n">
        <v>240.8</v>
      </c>
      <c r="H24" s="14" t="n">
        <v>140.6</v>
      </c>
      <c r="I24" s="15" t="n">
        <v>229.45</v>
      </c>
      <c r="J24" s="16">
        <f>(E24+I24)/2</f>
        <v/>
      </c>
      <c r="K24" s="16">
        <f>(E26+I22)/2</f>
        <v/>
      </c>
      <c r="L24" s="17">
        <f>A24+E24</f>
        <v/>
      </c>
      <c r="M24" s="18">
        <f>A24-I24</f>
        <v/>
      </c>
      <c r="N24" s="77">
        <f>(C24+D24+E24)/3</f>
        <v/>
      </c>
      <c r="O24" s="77">
        <f>(C24+D24)/2</f>
        <v/>
      </c>
      <c r="P24" s="77">
        <f>(N24-O24)+N24</f>
        <v/>
      </c>
      <c r="Q24" s="77">
        <f>2*N24-D24</f>
        <v/>
      </c>
      <c r="R24" s="77">
        <f>N24+(C24-D24)</f>
        <v/>
      </c>
      <c r="S24" s="77">
        <f>(2*N24)-C24</f>
        <v/>
      </c>
      <c r="T24" s="77">
        <f>N24-(C24-D24)</f>
        <v/>
      </c>
      <c r="U24" s="70">
        <f>(G24+H24+I24)/3</f>
        <v/>
      </c>
      <c r="V24" s="70">
        <f>(G24+H24)/2</f>
        <v/>
      </c>
      <c r="W24" s="70">
        <f>(U24-V24)+U24</f>
        <v/>
      </c>
      <c r="X24" s="70">
        <f>2*U24-H24</f>
        <v/>
      </c>
      <c r="Y24" s="70">
        <f>U24+(G24-H24)</f>
        <v/>
      </c>
      <c r="Z24" s="70">
        <f>(2*U24)-G24</f>
        <v/>
      </c>
      <c r="AA24" s="70">
        <f>U24-(G24-H24)</f>
        <v/>
      </c>
      <c r="AB24" s="5">
        <f>P24-O24</f>
        <v/>
      </c>
      <c r="AC24" s="5">
        <f>W24-V24</f>
        <v/>
      </c>
      <c r="AD24" s="5">
        <f>E24-I24</f>
        <v/>
      </c>
    </row>
    <row r="25">
      <c r="A25" s="11" t="n">
        <v>22150</v>
      </c>
      <c r="B25" s="12" t="n">
        <v>1063.55</v>
      </c>
      <c r="C25" s="12" t="n">
        <v>1096</v>
      </c>
      <c r="D25" s="12" t="n">
        <v>914</v>
      </c>
      <c r="E25" s="13" t="n">
        <v>917.35</v>
      </c>
      <c r="F25" s="14" t="n">
        <v>131.25</v>
      </c>
      <c r="G25" s="14" t="n">
        <v>256.85</v>
      </c>
      <c r="H25" s="14" t="n">
        <v>131.25</v>
      </c>
      <c r="I25" s="15" t="n">
        <v>242.65</v>
      </c>
      <c r="J25" s="16">
        <f>(E25+I25)/2</f>
        <v/>
      </c>
      <c r="K25" s="16">
        <f>(E27+I23)/2</f>
        <v/>
      </c>
      <c r="L25" s="17">
        <f>A25+E25</f>
        <v/>
      </c>
      <c r="M25" s="18">
        <f>A25-I25</f>
        <v/>
      </c>
      <c r="N25" s="77">
        <f>(C25+D25+E25)/3</f>
        <v/>
      </c>
      <c r="O25" s="77">
        <f>(C25+D25)/2</f>
        <v/>
      </c>
      <c r="P25" s="77">
        <f>(N25-O25)+N25</f>
        <v/>
      </c>
      <c r="Q25" s="77">
        <f>2*N25-D25</f>
        <v/>
      </c>
      <c r="R25" s="77">
        <f>N25+(C25-D25)</f>
        <v/>
      </c>
      <c r="S25" s="77">
        <f>(2*N25)-C25</f>
        <v/>
      </c>
      <c r="T25" s="77">
        <f>N25-(C25-D25)</f>
        <v/>
      </c>
      <c r="U25" s="70">
        <f>(G25+H25+I25)/3</f>
        <v/>
      </c>
      <c r="V25" s="70">
        <f>(G25+H25)/2</f>
        <v/>
      </c>
      <c r="W25" s="70">
        <f>(U25-V25)+U25</f>
        <v/>
      </c>
      <c r="X25" s="70">
        <f>2*U25-H25</f>
        <v/>
      </c>
      <c r="Y25" s="70">
        <f>U25+(G25-H25)</f>
        <v/>
      </c>
      <c r="Z25" s="70">
        <f>(2*U25)-G25</f>
        <v/>
      </c>
      <c r="AA25" s="70">
        <f>U25-(G25-H25)</f>
        <v/>
      </c>
      <c r="AB25" s="5">
        <f>P25-O25</f>
        <v/>
      </c>
      <c r="AC25" s="5">
        <f>W25-V25</f>
        <v/>
      </c>
      <c r="AD25" s="5">
        <f>E25-I25</f>
        <v/>
      </c>
    </row>
    <row r="26">
      <c r="A26" s="19" t="n">
        <v>22200</v>
      </c>
      <c r="B26" s="12" t="n">
        <v>1076</v>
      </c>
      <c r="C26" s="12" t="n">
        <v>1076</v>
      </c>
      <c r="D26" s="12" t="n">
        <v>870.65</v>
      </c>
      <c r="E26" s="13" t="n">
        <v>879</v>
      </c>
      <c r="F26" s="14" t="n">
        <v>138.65</v>
      </c>
      <c r="G26" s="14" t="n">
        <v>264.6</v>
      </c>
      <c r="H26" s="14" t="n">
        <v>137.45</v>
      </c>
      <c r="I26" s="15" t="n">
        <v>253.7</v>
      </c>
      <c r="J26" s="16">
        <f>(E26+I26)/2</f>
        <v/>
      </c>
      <c r="K26" s="16">
        <f>(E28+I24)/2</f>
        <v/>
      </c>
      <c r="L26" s="17">
        <f>A26+E26</f>
        <v/>
      </c>
      <c r="M26" s="18">
        <f>A26-I26</f>
        <v/>
      </c>
      <c r="N26" s="77">
        <f>(C26+D26+E26)/3</f>
        <v/>
      </c>
      <c r="O26" s="77">
        <f>(C26+D26)/2</f>
        <v/>
      </c>
      <c r="P26" s="77">
        <f>(N26-O26)+N26</f>
        <v/>
      </c>
      <c r="Q26" s="77">
        <f>2*N26-D26</f>
        <v/>
      </c>
      <c r="R26" s="77">
        <f>N26+(C26-D26)</f>
        <v/>
      </c>
      <c r="S26" s="77">
        <f>(2*N26)-C26</f>
        <v/>
      </c>
      <c r="T26" s="77">
        <f>N26-(C26-D26)</f>
        <v/>
      </c>
      <c r="U26" s="70">
        <f>(G26+H26+I26)/3</f>
        <v/>
      </c>
      <c r="V26" s="70">
        <f>(G26+H26)/2</f>
        <v/>
      </c>
      <c r="W26" s="70">
        <f>(U26-V26)+U26</f>
        <v/>
      </c>
      <c r="X26" s="70">
        <f>2*U26-H26</f>
        <v/>
      </c>
      <c r="Y26" s="70">
        <f>U26+(G26-H26)</f>
        <v/>
      </c>
      <c r="Z26" s="70">
        <f>(2*U26)-G26</f>
        <v/>
      </c>
      <c r="AA26" s="70">
        <f>U26-(G26-H26)</f>
        <v/>
      </c>
      <c r="AB26" s="5">
        <f>P26-O26</f>
        <v/>
      </c>
      <c r="AC26" s="5">
        <f>W26-V26</f>
        <v/>
      </c>
      <c r="AD26" s="5">
        <f>E26-I26</f>
        <v/>
      </c>
    </row>
    <row r="27">
      <c r="A27" s="11" t="n">
        <v>22250</v>
      </c>
      <c r="B27" s="12" t="n">
        <v>0</v>
      </c>
      <c r="C27" s="12" t="n">
        <v>0</v>
      </c>
      <c r="D27" s="12" t="n">
        <v>0</v>
      </c>
      <c r="E27" s="13" t="n">
        <v>1194.3</v>
      </c>
      <c r="F27" s="14" t="n">
        <v>170.5</v>
      </c>
      <c r="G27" s="14" t="n">
        <v>279.85</v>
      </c>
      <c r="H27" s="14" t="n">
        <v>168.5</v>
      </c>
      <c r="I27" s="15" t="n">
        <v>268.85</v>
      </c>
      <c r="J27" s="16">
        <f>(E27+I27)/2</f>
        <v/>
      </c>
      <c r="K27" s="16">
        <f>(E29+I25)/2</f>
        <v/>
      </c>
      <c r="L27" s="17">
        <f>A27+E27</f>
        <v/>
      </c>
      <c r="M27" s="18">
        <f>A27-I27</f>
        <v/>
      </c>
      <c r="N27" s="77">
        <f>(C27+D27+E27)/3</f>
        <v/>
      </c>
      <c r="O27" s="77">
        <f>(C27+D27)/2</f>
        <v/>
      </c>
      <c r="P27" s="77">
        <f>(N27-O27)+N27</f>
        <v/>
      </c>
      <c r="Q27" s="77">
        <f>2*N27-D27</f>
        <v/>
      </c>
      <c r="R27" s="77">
        <f>N27+(C27-D27)</f>
        <v/>
      </c>
      <c r="S27" s="77">
        <f>(2*N27)-C27</f>
        <v/>
      </c>
      <c r="T27" s="77">
        <f>N27-(C27-D27)</f>
        <v/>
      </c>
      <c r="U27" s="70">
        <f>(G27+H27+I27)/3</f>
        <v/>
      </c>
      <c r="V27" s="70">
        <f>(G27+H27)/2</f>
        <v/>
      </c>
      <c r="W27" s="70">
        <f>(U27-V27)+U27</f>
        <v/>
      </c>
      <c r="X27" s="70">
        <f>2*U27-H27</f>
        <v/>
      </c>
      <c r="Y27" s="70">
        <f>U27+(G27-H27)</f>
        <v/>
      </c>
      <c r="Z27" s="70">
        <f>(2*U27)-G27</f>
        <v/>
      </c>
      <c r="AA27" s="70">
        <f>U27-(G27-H27)</f>
        <v/>
      </c>
      <c r="AB27" s="5">
        <f>P27-O27</f>
        <v/>
      </c>
      <c r="AC27" s="5">
        <f>W27-V27</f>
        <v/>
      </c>
      <c r="AD27" s="5">
        <f>E27-I27</f>
        <v/>
      </c>
    </row>
    <row r="28">
      <c r="A28" s="19" t="n">
        <v>22300</v>
      </c>
      <c r="B28" s="12" t="n">
        <v>1011.05</v>
      </c>
      <c r="C28" s="12" t="n">
        <v>1013.5</v>
      </c>
      <c r="D28" s="12" t="n">
        <v>802.35</v>
      </c>
      <c r="E28" s="13" t="n">
        <v>812.95</v>
      </c>
      <c r="F28" s="14" t="n">
        <v>178</v>
      </c>
      <c r="G28" s="14" t="n">
        <v>292.5</v>
      </c>
      <c r="H28" s="14" t="n">
        <v>173.25</v>
      </c>
      <c r="I28" s="15" t="n">
        <v>281.35</v>
      </c>
      <c r="J28" s="16">
        <f>(E28+I28)/2</f>
        <v/>
      </c>
      <c r="K28" s="16">
        <f>(E30+I26)/2</f>
        <v/>
      </c>
      <c r="L28" s="17">
        <f>A28+E28</f>
        <v/>
      </c>
      <c r="M28" s="18">
        <f>A28-I28</f>
        <v/>
      </c>
      <c r="N28" s="77">
        <f>(C28+D28+E28)/3</f>
        <v/>
      </c>
      <c r="O28" s="77">
        <f>(C28+D28)/2</f>
        <v/>
      </c>
      <c r="P28" s="77">
        <f>(N28-O28)+N28</f>
        <v/>
      </c>
      <c r="Q28" s="77">
        <f>2*N28-D28</f>
        <v/>
      </c>
      <c r="R28" s="77">
        <f>N28+(C28-D28)</f>
        <v/>
      </c>
      <c r="S28" s="77">
        <f>(2*N28)-C28</f>
        <v/>
      </c>
      <c r="T28" s="77">
        <f>N28-(C28-D28)</f>
        <v/>
      </c>
      <c r="U28" s="70">
        <f>(G28+H28+I28)/3</f>
        <v/>
      </c>
      <c r="V28" s="70">
        <f>(G28+H28)/2</f>
        <v/>
      </c>
      <c r="W28" s="70">
        <f>(U28-V28)+U28</f>
        <v/>
      </c>
      <c r="X28" s="70">
        <f>2*U28-H28</f>
        <v/>
      </c>
      <c r="Y28" s="70">
        <f>U28+(G28-H28)</f>
        <v/>
      </c>
      <c r="Z28" s="70">
        <f>(2*U28)-G28</f>
        <v/>
      </c>
      <c r="AA28" s="70">
        <f>U28-(G28-H28)</f>
        <v/>
      </c>
      <c r="AB28" s="5">
        <f>P28-O28</f>
        <v/>
      </c>
      <c r="AC28" s="5">
        <f>W28-V28</f>
        <v/>
      </c>
      <c r="AD28" s="5">
        <f>E28-I28</f>
        <v/>
      </c>
    </row>
    <row r="29">
      <c r="A29" s="11" t="n">
        <v>22350</v>
      </c>
      <c r="B29" s="12" t="n">
        <v>851</v>
      </c>
      <c r="C29" s="12" t="n">
        <v>872.2</v>
      </c>
      <c r="D29" s="12" t="n">
        <v>778.3</v>
      </c>
      <c r="E29" s="13" t="n">
        <v>783.7</v>
      </c>
      <c r="F29" s="14" t="n">
        <v>116.25</v>
      </c>
      <c r="G29" s="14" t="n">
        <v>116.25</v>
      </c>
      <c r="H29" s="14" t="n">
        <v>116.25</v>
      </c>
      <c r="I29" s="15" t="n">
        <v>116.25</v>
      </c>
      <c r="J29" s="16">
        <f>(E29+I29)/2</f>
        <v/>
      </c>
      <c r="K29" s="16">
        <f>(E31+I27)/2</f>
        <v/>
      </c>
      <c r="L29" s="17">
        <f>A29+E29</f>
        <v/>
      </c>
      <c r="M29" s="18">
        <f>A29-I29</f>
        <v/>
      </c>
      <c r="N29" s="77">
        <f>(C29+D29+E29)/3</f>
        <v/>
      </c>
      <c r="O29" s="77">
        <f>(C29+D29)/2</f>
        <v/>
      </c>
      <c r="P29" s="77">
        <f>(N29-O29)+N29</f>
        <v/>
      </c>
      <c r="Q29" s="77">
        <f>2*N29-D29</f>
        <v/>
      </c>
      <c r="R29" s="77">
        <f>N29+(C29-D29)</f>
        <v/>
      </c>
      <c r="S29" s="77">
        <f>(2*N29)-C29</f>
        <v/>
      </c>
      <c r="T29" s="77">
        <f>N29-(C29-D29)</f>
        <v/>
      </c>
      <c r="U29" s="70">
        <f>(G29+H29+I29)/3</f>
        <v/>
      </c>
      <c r="V29" s="70">
        <f>(G29+H29)/2</f>
        <v/>
      </c>
      <c r="W29" s="70">
        <f>(U29-V29)+U29</f>
        <v/>
      </c>
      <c r="X29" s="70">
        <f>2*U29-H29</f>
        <v/>
      </c>
      <c r="Y29" s="70">
        <f>U29+(G29-H29)</f>
        <v/>
      </c>
      <c r="Z29" s="70">
        <f>(2*U29)-G29</f>
        <v/>
      </c>
      <c r="AA29" s="70">
        <f>U29-(G29-H29)</f>
        <v/>
      </c>
      <c r="AB29" s="5">
        <f>P29-O29</f>
        <v/>
      </c>
      <c r="AC29" s="5">
        <f>W29-V29</f>
        <v/>
      </c>
      <c r="AD29" s="5">
        <f>E29-I29</f>
        <v/>
      </c>
    </row>
    <row r="30">
      <c r="A30" s="19" t="n">
        <v>22400</v>
      </c>
      <c r="B30" s="12" t="n">
        <v>895.3</v>
      </c>
      <c r="C30" s="12" t="n">
        <v>897.4</v>
      </c>
      <c r="D30" s="12" t="n">
        <v>730.15</v>
      </c>
      <c r="E30" s="13" t="n">
        <v>741.45</v>
      </c>
      <c r="F30" s="14" t="n">
        <v>200</v>
      </c>
      <c r="G30" s="14" t="n">
        <v>323.05</v>
      </c>
      <c r="H30" s="14" t="n">
        <v>179.45</v>
      </c>
      <c r="I30" s="15" t="n">
        <v>311.95</v>
      </c>
      <c r="J30" s="16">
        <f>(E30+I30)/2</f>
        <v/>
      </c>
      <c r="K30" s="16">
        <f>(E32+I28)/2</f>
        <v/>
      </c>
      <c r="L30" s="17">
        <f>A30+E30</f>
        <v/>
      </c>
      <c r="M30" s="18">
        <f>A30-I30</f>
        <v/>
      </c>
      <c r="N30" s="77">
        <f>(C30+D30+E30)/3</f>
        <v/>
      </c>
      <c r="O30" s="77">
        <f>(C30+D30)/2</f>
        <v/>
      </c>
      <c r="P30" s="77">
        <f>(N30-O30)+N30</f>
        <v/>
      </c>
      <c r="Q30" s="77">
        <f>2*N30-D30</f>
        <v/>
      </c>
      <c r="R30" s="77">
        <f>N30+(C30-D30)</f>
        <v/>
      </c>
      <c r="S30" s="77">
        <f>(2*N30)-C30</f>
        <v/>
      </c>
      <c r="T30" s="77">
        <f>N30-(C30-D30)</f>
        <v/>
      </c>
      <c r="U30" s="70">
        <f>(G30+H30+I30)/3</f>
        <v/>
      </c>
      <c r="V30" s="70">
        <f>(G30+H30)/2</f>
        <v/>
      </c>
      <c r="W30" s="70">
        <f>(U30-V30)+U30</f>
        <v/>
      </c>
      <c r="X30" s="70">
        <f>2*U30-H30</f>
        <v/>
      </c>
      <c r="Y30" s="70">
        <f>U30+(G30-H30)</f>
        <v/>
      </c>
      <c r="Z30" s="70">
        <f>(2*U30)-G30</f>
        <v/>
      </c>
      <c r="AA30" s="70">
        <f>U30-(G30-H30)</f>
        <v/>
      </c>
      <c r="AB30" s="5">
        <f>P30-O30</f>
        <v/>
      </c>
      <c r="AC30" s="5">
        <f>W30-V30</f>
        <v/>
      </c>
      <c r="AD30" s="5">
        <f>E30-I30</f>
        <v/>
      </c>
    </row>
    <row r="31">
      <c r="A31" s="11" t="n">
        <v>22450</v>
      </c>
      <c r="B31" s="12" t="n">
        <v>900.45</v>
      </c>
      <c r="C31" s="12" t="n">
        <v>900.45</v>
      </c>
      <c r="D31" s="12" t="n">
        <v>700.35</v>
      </c>
      <c r="E31" s="13" t="n">
        <v>709.15</v>
      </c>
      <c r="F31" s="14" t="n">
        <v>0</v>
      </c>
      <c r="G31" s="14" t="n">
        <v>0</v>
      </c>
      <c r="H31" s="14" t="n">
        <v>0</v>
      </c>
      <c r="I31" s="15" t="n">
        <v>2.45</v>
      </c>
      <c r="J31" s="16">
        <f>(E31+I31)/2</f>
        <v/>
      </c>
      <c r="K31" s="16">
        <f>(E33+I29)/2</f>
        <v/>
      </c>
      <c r="L31" s="17">
        <f>A31+E31</f>
        <v/>
      </c>
      <c r="M31" s="18">
        <f>A31-I31</f>
        <v/>
      </c>
      <c r="N31" s="77">
        <f>(C31+D31+E31)/3</f>
        <v/>
      </c>
      <c r="O31" s="77">
        <f>(C31+D31)/2</f>
        <v/>
      </c>
      <c r="P31" s="77">
        <f>(N31-O31)+N31</f>
        <v/>
      </c>
      <c r="Q31" s="77">
        <f>2*N31-D31</f>
        <v/>
      </c>
      <c r="R31" s="77">
        <f>N31+(C31-D31)</f>
        <v/>
      </c>
      <c r="S31" s="77">
        <f>(2*N31)-C31</f>
        <v/>
      </c>
      <c r="T31" s="77">
        <f>N31-(C31-D31)</f>
        <v/>
      </c>
      <c r="U31" s="70">
        <f>(G31+H31+I31)/3</f>
        <v/>
      </c>
      <c r="V31" s="70">
        <f>(G31+H31)/2</f>
        <v/>
      </c>
      <c r="W31" s="70">
        <f>(U31-V31)+U31</f>
        <v/>
      </c>
      <c r="X31" s="70">
        <f>2*U31-H31</f>
        <v/>
      </c>
      <c r="Y31" s="70">
        <f>U31+(G31-H31)</f>
        <v/>
      </c>
      <c r="Z31" s="70">
        <f>(2*U31)-G31</f>
        <v/>
      </c>
      <c r="AA31" s="70">
        <f>U31-(G31-H31)</f>
        <v/>
      </c>
      <c r="AB31" s="5">
        <f>P31-O31</f>
        <v/>
      </c>
      <c r="AC31" s="5">
        <f>W31-V31</f>
        <v/>
      </c>
      <c r="AD31" s="5">
        <f>E31-I31</f>
        <v/>
      </c>
    </row>
    <row r="32">
      <c r="A32" s="19" t="n">
        <v>22500</v>
      </c>
      <c r="B32" s="12" t="n">
        <v>875</v>
      </c>
      <c r="C32" s="12" t="n">
        <v>900.7</v>
      </c>
      <c r="D32" s="12" t="n">
        <v>663.3</v>
      </c>
      <c r="E32" s="13" t="n">
        <v>679.4</v>
      </c>
      <c r="F32" s="14" t="n">
        <v>220</v>
      </c>
      <c r="G32" s="14" t="n">
        <v>356.85</v>
      </c>
      <c r="H32" s="14" t="n">
        <v>210.05</v>
      </c>
      <c r="I32" s="15" t="n">
        <v>344.8</v>
      </c>
      <c r="J32" s="16">
        <f>(E32+I32)/2</f>
        <v/>
      </c>
      <c r="K32" s="16">
        <f>(E34+I30)/2</f>
        <v/>
      </c>
      <c r="L32" s="17">
        <f>A32+E32</f>
        <v/>
      </c>
      <c r="M32" s="18">
        <f>A32-I32</f>
        <v/>
      </c>
      <c r="N32" s="77">
        <f>(C32+D32+E32)/3</f>
        <v/>
      </c>
      <c r="O32" s="77">
        <f>(C32+D32)/2</f>
        <v/>
      </c>
      <c r="P32" s="77">
        <f>(N32-O32)+N32</f>
        <v/>
      </c>
      <c r="Q32" s="77">
        <f>2*N32-D32</f>
        <v/>
      </c>
      <c r="R32" s="77">
        <f>N32+(C32-D32)</f>
        <v/>
      </c>
      <c r="S32" s="77">
        <f>(2*N32)-C32</f>
        <v/>
      </c>
      <c r="T32" s="77">
        <f>N32-(C32-D32)</f>
        <v/>
      </c>
      <c r="U32" s="70">
        <f>(G32+H32+I32)/3</f>
        <v/>
      </c>
      <c r="V32" s="70">
        <f>(G32+H32)/2</f>
        <v/>
      </c>
      <c r="W32" s="70">
        <f>(U32-V32)+U32</f>
        <v/>
      </c>
      <c r="X32" s="70">
        <f>2*U32-H32</f>
        <v/>
      </c>
      <c r="Y32" s="70">
        <f>U32+(G32-H32)</f>
        <v/>
      </c>
      <c r="Z32" s="70">
        <f>(2*U32)-G32</f>
        <v/>
      </c>
      <c r="AA32" s="70">
        <f>U32-(G32-H32)</f>
        <v/>
      </c>
      <c r="AB32" s="5">
        <f>P32-O32</f>
        <v/>
      </c>
      <c r="AC32" s="5">
        <f>W32-V32</f>
        <v/>
      </c>
      <c r="AD32" s="5">
        <f>E32-I32</f>
        <v/>
      </c>
    </row>
    <row r="33">
      <c r="A33" s="19" t="n">
        <v>22550</v>
      </c>
      <c r="B33" s="12" t="n">
        <v>813</v>
      </c>
      <c r="C33" s="12" t="n">
        <v>827.1</v>
      </c>
      <c r="D33" s="12" t="n">
        <v>632</v>
      </c>
      <c r="E33" s="13" t="n">
        <v>642.25</v>
      </c>
      <c r="F33" s="14" t="n">
        <v>230.75</v>
      </c>
      <c r="G33" s="14" t="n">
        <v>374.2</v>
      </c>
      <c r="H33" s="14" t="n">
        <v>229.5</v>
      </c>
      <c r="I33" s="15" t="n">
        <v>357.9</v>
      </c>
      <c r="J33" s="16">
        <f>(E33+I33)/2</f>
        <v/>
      </c>
      <c r="K33" s="16">
        <f>(E35+I31)/2</f>
        <v/>
      </c>
      <c r="L33" s="17">
        <f>A33+E33</f>
        <v/>
      </c>
      <c r="M33" s="18">
        <f>A33-I33</f>
        <v/>
      </c>
      <c r="N33" s="77">
        <f>(C33+D33+E33)/3</f>
        <v/>
      </c>
      <c r="O33" s="77">
        <f>(C33+D33)/2</f>
        <v/>
      </c>
      <c r="P33" s="77">
        <f>(N33-O33)+N33</f>
        <v/>
      </c>
      <c r="Q33" s="77">
        <f>2*N33-D33</f>
        <v/>
      </c>
      <c r="R33" s="77">
        <f>N33+(C33-D33)</f>
        <v/>
      </c>
      <c r="S33" s="77">
        <f>(2*N33)-C33</f>
        <v/>
      </c>
      <c r="T33" s="77">
        <f>N33-(C33-D33)</f>
        <v/>
      </c>
      <c r="U33" s="70">
        <f>(G33+H33+I33)/3</f>
        <v/>
      </c>
      <c r="V33" s="70">
        <f>(G33+H33)/2</f>
        <v/>
      </c>
      <c r="W33" s="70">
        <f>(U33-V33)+U33</f>
        <v/>
      </c>
      <c r="X33" s="70">
        <f>2*U33-H33</f>
        <v/>
      </c>
      <c r="Y33" s="70">
        <f>U33+(G33-H33)</f>
        <v/>
      </c>
      <c r="Z33" s="70">
        <f>(2*U33)-G33</f>
        <v/>
      </c>
      <c r="AA33" s="70">
        <f>U33-(G33-H33)</f>
        <v/>
      </c>
      <c r="AB33" s="5">
        <f>P33-O33</f>
        <v/>
      </c>
      <c r="AC33" s="5">
        <f>W33-V33</f>
        <v/>
      </c>
      <c r="AD33" s="5">
        <f>E33-I33</f>
        <v/>
      </c>
    </row>
    <row r="34">
      <c r="A34" s="19" t="n">
        <v>22600</v>
      </c>
      <c r="B34" s="12" t="n">
        <v>804.95</v>
      </c>
      <c r="C34" s="12" t="n">
        <v>805</v>
      </c>
      <c r="D34" s="12" t="n">
        <v>594.65</v>
      </c>
      <c r="E34" s="13" t="n">
        <v>612.9</v>
      </c>
      <c r="F34" s="14" t="n">
        <v>243.45</v>
      </c>
      <c r="G34" s="14" t="n">
        <v>391.2</v>
      </c>
      <c r="H34" s="14" t="n">
        <v>238.05</v>
      </c>
      <c r="I34" s="15" t="n">
        <v>379</v>
      </c>
      <c r="J34" s="16">
        <f>(E34+I34)/2</f>
        <v/>
      </c>
      <c r="K34" s="16">
        <f>(E36+I32)/2</f>
        <v/>
      </c>
      <c r="L34" s="17">
        <f>A34+E34</f>
        <v/>
      </c>
      <c r="M34" s="18">
        <f>A34-I34</f>
        <v/>
      </c>
      <c r="N34" s="77">
        <f>(C34+D34+E34)/3</f>
        <v/>
      </c>
      <c r="O34" s="77">
        <f>(C34+D34)/2</f>
        <v/>
      </c>
      <c r="P34" s="77">
        <f>(N34-O34)+N34</f>
        <v/>
      </c>
      <c r="Q34" s="77">
        <f>2*N34-D34</f>
        <v/>
      </c>
      <c r="R34" s="77">
        <f>N34+(C34-D34)</f>
        <v/>
      </c>
      <c r="S34" s="77">
        <f>(2*N34)-C34</f>
        <v/>
      </c>
      <c r="T34" s="77">
        <f>N34-(C34-D34)</f>
        <v/>
      </c>
      <c r="U34" s="70">
        <f>(G34+H34+I34)/3</f>
        <v/>
      </c>
      <c r="V34" s="70">
        <f>(G34+H34)/2</f>
        <v/>
      </c>
      <c r="W34" s="70">
        <f>(U34-V34)+U34</f>
        <v/>
      </c>
      <c r="X34" s="70">
        <f>2*U34-H34</f>
        <v/>
      </c>
      <c r="Y34" s="70">
        <f>U34+(G34-H34)</f>
        <v/>
      </c>
      <c r="Z34" s="70">
        <f>(2*U34)-G34</f>
        <v/>
      </c>
      <c r="AA34" s="70">
        <f>U34-(G34-H34)</f>
        <v/>
      </c>
      <c r="AB34" s="5">
        <f>P34-O34</f>
        <v/>
      </c>
      <c r="AC34" s="5">
        <f>W34-V34</f>
        <v/>
      </c>
      <c r="AD34" s="5">
        <f>E34-I34</f>
        <v/>
      </c>
    </row>
    <row r="35">
      <c r="A35" s="19" t="n">
        <v>22650</v>
      </c>
      <c r="B35" s="12" t="n">
        <v>766.95</v>
      </c>
      <c r="C35" s="12" t="n">
        <v>766.95</v>
      </c>
      <c r="D35" s="12" t="n">
        <v>565.1</v>
      </c>
      <c r="E35" s="13" t="n">
        <v>577.95</v>
      </c>
      <c r="F35" s="14" t="n">
        <v>257.95</v>
      </c>
      <c r="G35" s="14" t="n">
        <v>425</v>
      </c>
      <c r="H35" s="14" t="n">
        <v>257.95</v>
      </c>
      <c r="I35" s="15" t="n">
        <v>397.1</v>
      </c>
      <c r="J35" s="16">
        <f>(E35+I35)/2</f>
        <v/>
      </c>
      <c r="K35" s="16">
        <f>(E37+I33)/2</f>
        <v/>
      </c>
      <c r="L35" s="17">
        <f>A35+E35</f>
        <v/>
      </c>
      <c r="M35" s="18">
        <f>A35-I35</f>
        <v/>
      </c>
      <c r="N35" s="77">
        <f>(C35+D35+E35)/3</f>
        <v/>
      </c>
      <c r="O35" s="77">
        <f>(C35+D35)/2</f>
        <v/>
      </c>
      <c r="P35" s="77">
        <f>(N35-O35)+N35</f>
        <v/>
      </c>
      <c r="Q35" s="77">
        <f>2*N35-D35</f>
        <v/>
      </c>
      <c r="R35" s="77">
        <f>N35+(C35-D35)</f>
        <v/>
      </c>
      <c r="S35" s="77">
        <f>(2*N35)-C35</f>
        <v/>
      </c>
      <c r="T35" s="77">
        <f>N35-(C35-D35)</f>
        <v/>
      </c>
      <c r="U35" s="70">
        <f>(G35+H35+I35)/3</f>
        <v/>
      </c>
      <c r="V35" s="70">
        <f>(G35+H35)/2</f>
        <v/>
      </c>
      <c r="W35" s="70">
        <f>(U35-V35)+U35</f>
        <v/>
      </c>
      <c r="X35" s="70">
        <f>2*U35-H35</f>
        <v/>
      </c>
      <c r="Y35" s="70">
        <f>U35+(G35-H35)</f>
        <v/>
      </c>
      <c r="Z35" s="70">
        <f>(2*U35)-G35</f>
        <v/>
      </c>
      <c r="AA35" s="70">
        <f>U35-(G35-H35)</f>
        <v/>
      </c>
      <c r="AB35" s="5">
        <f>P35-O35</f>
        <v/>
      </c>
      <c r="AC35" s="5">
        <f>W35-V35</f>
        <v/>
      </c>
      <c r="AD35" s="5">
        <f>E35-I35</f>
        <v/>
      </c>
    </row>
    <row r="36">
      <c r="A36" s="19" t="n">
        <v>22700</v>
      </c>
      <c r="B36" s="12" t="n">
        <v>736</v>
      </c>
      <c r="C36" s="12" t="n">
        <v>736</v>
      </c>
      <c r="D36" s="12" t="n">
        <v>538.5</v>
      </c>
      <c r="E36" s="13" t="n">
        <v>551.9</v>
      </c>
      <c r="F36" s="14" t="n">
        <v>268</v>
      </c>
      <c r="G36" s="14" t="n">
        <v>431.05</v>
      </c>
      <c r="H36" s="14" t="n">
        <v>261.3</v>
      </c>
      <c r="I36" s="15" t="n">
        <v>417.9</v>
      </c>
      <c r="J36" s="16">
        <f>(E36+I36)/2</f>
        <v/>
      </c>
      <c r="K36" s="16">
        <f>(E38+I34)/2</f>
        <v/>
      </c>
      <c r="L36" s="17">
        <f>A36+E36</f>
        <v/>
      </c>
      <c r="M36" s="18">
        <f>A36-I36</f>
        <v/>
      </c>
      <c r="N36" s="77">
        <f>(C36+D36+E36)/3</f>
        <v/>
      </c>
      <c r="O36" s="77">
        <f>(C36+D36)/2</f>
        <v/>
      </c>
      <c r="P36" s="77">
        <f>(N36-O36)+N36</f>
        <v/>
      </c>
      <c r="Q36" s="77">
        <f>2*N36-D36</f>
        <v/>
      </c>
      <c r="R36" s="77">
        <f>N36+(C36-D36)</f>
        <v/>
      </c>
      <c r="S36" s="77">
        <f>(2*N36)-C36</f>
        <v/>
      </c>
      <c r="T36" s="77">
        <f>N36-(C36-D36)</f>
        <v/>
      </c>
      <c r="U36" s="70">
        <f>(G36+H36+I36)/3</f>
        <v/>
      </c>
      <c r="V36" s="70">
        <f>(G36+H36)/2</f>
        <v/>
      </c>
      <c r="W36" s="70">
        <f>(U36-V36)+U36</f>
        <v/>
      </c>
      <c r="X36" s="70">
        <f>2*U36-H36</f>
        <v/>
      </c>
      <c r="Y36" s="70">
        <f>U36+(G36-H36)</f>
        <v/>
      </c>
      <c r="Z36" s="70">
        <f>(2*U36)-G36</f>
        <v/>
      </c>
      <c r="AA36" s="70">
        <f>U36-(G36-H36)</f>
        <v/>
      </c>
      <c r="AB36" s="5">
        <f>P36-O36</f>
        <v/>
      </c>
      <c r="AC36" s="5">
        <f>W36-V36</f>
        <v/>
      </c>
      <c r="AD36" s="5">
        <f>E36-I36</f>
        <v/>
      </c>
    </row>
    <row r="37">
      <c r="A37" s="19" t="n">
        <v>22750</v>
      </c>
      <c r="B37" s="12" t="n">
        <v>675.95</v>
      </c>
      <c r="C37" s="12" t="n">
        <v>686.8</v>
      </c>
      <c r="D37" s="12" t="n">
        <v>511.45</v>
      </c>
      <c r="E37" s="13" t="n">
        <v>522.9</v>
      </c>
      <c r="F37" s="14" t="n">
        <v>278.15</v>
      </c>
      <c r="G37" s="14" t="n">
        <v>451.6</v>
      </c>
      <c r="H37" s="14" t="n">
        <v>278.15</v>
      </c>
      <c r="I37" s="15" t="n">
        <v>437.9</v>
      </c>
      <c r="J37" s="16">
        <f>(E37+I37)/2</f>
        <v/>
      </c>
      <c r="K37" s="16">
        <f>(E39+I35)/2</f>
        <v/>
      </c>
      <c r="L37" s="17">
        <f>A37+E37</f>
        <v/>
      </c>
      <c r="M37" s="18">
        <f>A37-I37</f>
        <v/>
      </c>
      <c r="N37" s="77">
        <f>(C37+D37+E37)/3</f>
        <v/>
      </c>
      <c r="O37" s="77">
        <f>(C37+D37)/2</f>
        <v/>
      </c>
      <c r="P37" s="77">
        <f>(N37-O37)+N37</f>
        <v/>
      </c>
      <c r="Q37" s="77">
        <f>2*N37-D37</f>
        <v/>
      </c>
      <c r="R37" s="77">
        <f>N37+(C37-D37)</f>
        <v/>
      </c>
      <c r="S37" s="77">
        <f>(2*N37)-C37</f>
        <v/>
      </c>
      <c r="T37" s="77">
        <f>N37-(C37-D37)</f>
        <v/>
      </c>
      <c r="U37" s="70">
        <f>(G37+H37+I37)/3</f>
        <v/>
      </c>
      <c r="V37" s="70">
        <f>(G37+H37)/2</f>
        <v/>
      </c>
      <c r="W37" s="70">
        <f>(U37-V37)+U37</f>
        <v/>
      </c>
      <c r="X37" s="70">
        <f>2*U37-H37</f>
        <v/>
      </c>
      <c r="Y37" s="70">
        <f>U37+(G37-H37)</f>
        <v/>
      </c>
      <c r="Z37" s="70">
        <f>(2*U37)-G37</f>
        <v/>
      </c>
      <c r="AA37" s="70">
        <f>U37-(G37-H37)</f>
        <v/>
      </c>
      <c r="AB37" s="5">
        <f>P37-O37</f>
        <v/>
      </c>
      <c r="AC37" s="5">
        <f>W37-V37</f>
        <v/>
      </c>
      <c r="AD37" s="5">
        <f>E37-I37</f>
        <v/>
      </c>
    </row>
    <row r="38" ht="15" customHeight="1">
      <c r="A38" s="19" t="n">
        <v>22800</v>
      </c>
      <c r="B38" s="14" t="n">
        <v>658.95</v>
      </c>
      <c r="C38" s="14" t="n">
        <v>665.55</v>
      </c>
      <c r="D38" s="14" t="n">
        <v>482</v>
      </c>
      <c r="E38" s="15" t="n">
        <v>494.4</v>
      </c>
      <c r="F38" s="14" t="n">
        <v>298.95</v>
      </c>
      <c r="G38" s="14" t="n">
        <v>475</v>
      </c>
      <c r="H38" s="14" t="n">
        <v>291.35</v>
      </c>
      <c r="I38" s="15" t="n">
        <v>460.95</v>
      </c>
      <c r="J38" s="16">
        <f>(E38+I38)/2</f>
        <v/>
      </c>
      <c r="K38" s="16">
        <f>(E40+I36)/2</f>
        <v/>
      </c>
      <c r="L38" s="17">
        <f>A38+E38</f>
        <v/>
      </c>
      <c r="M38" s="18">
        <f>A38-I38</f>
        <v/>
      </c>
      <c r="N38" s="77">
        <f>(C38+D38+E38)/3</f>
        <v/>
      </c>
      <c r="O38" s="77">
        <f>(C38+D38)/2</f>
        <v/>
      </c>
      <c r="P38" s="77">
        <f>(N38-O38)+N38</f>
        <v/>
      </c>
      <c r="Q38" s="77">
        <f>2*N38-D38</f>
        <v/>
      </c>
      <c r="R38" s="77">
        <f>N38+(C38-D38)</f>
        <v/>
      </c>
      <c r="S38" s="77">
        <f>(2*N38)-C38</f>
        <v/>
      </c>
      <c r="T38" s="77">
        <f>N38-(C38-D38)</f>
        <v/>
      </c>
      <c r="U38" s="70">
        <f>(G38+H38+I38)/3</f>
        <v/>
      </c>
      <c r="V38" s="70">
        <f>(G38+H38)/2</f>
        <v/>
      </c>
      <c r="W38" s="70">
        <f>(U38-V38)+U38</f>
        <v/>
      </c>
      <c r="X38" s="70">
        <f>2*U38-H38</f>
        <v/>
      </c>
      <c r="Y38" s="70">
        <f>U38+(G38-H38)</f>
        <v/>
      </c>
      <c r="Z38" s="70">
        <f>(2*U38)-G38</f>
        <v/>
      </c>
      <c r="AA38" s="70">
        <f>U38-(G38-H38)</f>
        <v/>
      </c>
      <c r="AD38" s="5">
        <f>E38-I38</f>
        <v/>
      </c>
    </row>
    <row r="39">
      <c r="A39" s="11" t="n">
        <v>22850</v>
      </c>
      <c r="B39" s="14" t="n">
        <v>614.85</v>
      </c>
      <c r="C39" s="14" t="n">
        <v>624.45</v>
      </c>
      <c r="D39" s="14" t="n">
        <v>456.1</v>
      </c>
      <c r="E39" s="15" t="n">
        <v>465.5</v>
      </c>
      <c r="F39" s="12" t="n">
        <v>278.55</v>
      </c>
      <c r="G39" s="12" t="n">
        <v>496.75</v>
      </c>
      <c r="H39" s="12" t="n">
        <v>278.55</v>
      </c>
      <c r="I39" s="13" t="n">
        <v>482.65</v>
      </c>
      <c r="J39" s="16">
        <f>(E39+I39)/2</f>
        <v/>
      </c>
      <c r="K39" s="16">
        <f>(E41+I37)/2</f>
        <v/>
      </c>
      <c r="L39" s="17">
        <f>A39+E39</f>
        <v/>
      </c>
      <c r="M39" s="18">
        <f>A39-I39</f>
        <v/>
      </c>
      <c r="N39" s="77">
        <f>(C39+D39+E39)/3</f>
        <v/>
      </c>
      <c r="O39" s="77">
        <f>(C39+D39)/2</f>
        <v/>
      </c>
      <c r="P39" s="77">
        <f>(N39-O39)+N39</f>
        <v/>
      </c>
      <c r="Q39" s="77">
        <f>2*N39-D39</f>
        <v/>
      </c>
      <c r="R39" s="77">
        <f>N39+(C39-D39)</f>
        <v/>
      </c>
      <c r="S39" s="77">
        <f>(2*N39)-C39</f>
        <v/>
      </c>
      <c r="T39" s="77">
        <f>N39-(C39-D39)</f>
        <v/>
      </c>
      <c r="U39" s="70">
        <f>(G39+H39+I39)/3</f>
        <v/>
      </c>
      <c r="V39" s="70">
        <f>(G39+H39)/2</f>
        <v/>
      </c>
      <c r="W39" s="70">
        <f>(U39-V39)+U39</f>
        <v/>
      </c>
      <c r="X39" s="70">
        <f>2*U39-H39</f>
        <v/>
      </c>
      <c r="Y39" s="70">
        <f>U39+(G39-H39)</f>
        <v/>
      </c>
      <c r="Z39" s="70">
        <f>(2*U39)-G39</f>
        <v/>
      </c>
      <c r="AA39" s="70">
        <f>U39-(G39-H39)</f>
        <v/>
      </c>
      <c r="AD39" s="5">
        <f>E39-I39</f>
        <v/>
      </c>
    </row>
    <row r="40">
      <c r="A40" s="19" t="n">
        <v>22900</v>
      </c>
      <c r="B40" s="14" t="n">
        <v>594.95</v>
      </c>
      <c r="C40" s="14" t="n">
        <v>598</v>
      </c>
      <c r="D40" s="14" t="n">
        <v>429.15</v>
      </c>
      <c r="E40" s="15" t="n">
        <v>440.45</v>
      </c>
      <c r="F40" s="12" t="n">
        <v>328.95</v>
      </c>
      <c r="G40" s="12" t="n">
        <v>519.95</v>
      </c>
      <c r="H40" s="12" t="n">
        <v>323.45</v>
      </c>
      <c r="I40" s="13" t="n">
        <v>505.95</v>
      </c>
      <c r="J40" s="16">
        <f>(E40+I40)/2</f>
        <v/>
      </c>
      <c r="K40" s="16">
        <f>(E42+I38)/2</f>
        <v/>
      </c>
      <c r="L40" s="17">
        <f>A40+E40</f>
        <v/>
      </c>
      <c r="M40" s="18">
        <f>A40-I40</f>
        <v/>
      </c>
      <c r="N40" s="77">
        <f>(C40+D40+E40)/3</f>
        <v/>
      </c>
      <c r="O40" s="77">
        <f>(C40+D40)/2</f>
        <v/>
      </c>
      <c r="P40" s="77">
        <f>(N40-O40)+N40</f>
        <v/>
      </c>
      <c r="Q40" s="77">
        <f>2*N40-D40</f>
        <v/>
      </c>
      <c r="R40" s="77">
        <f>N40+(C40-D40)</f>
        <v/>
      </c>
      <c r="S40" s="77">
        <f>(2*N40)-C40</f>
        <v/>
      </c>
      <c r="T40" s="77">
        <f>N40-(C40-D40)</f>
        <v/>
      </c>
      <c r="U40" s="70">
        <f>(G40+H40+I40)/3</f>
        <v/>
      </c>
      <c r="V40" s="70">
        <f>(G40+H40)/2</f>
        <v/>
      </c>
      <c r="W40" s="70">
        <f>(U40-V40)+U40</f>
        <v/>
      </c>
      <c r="X40" s="70">
        <f>2*U40-H40</f>
        <v/>
      </c>
      <c r="Y40" s="70">
        <f>U40+(G40-H40)</f>
        <v/>
      </c>
      <c r="Z40" s="70">
        <f>(2*U40)-G40</f>
        <v/>
      </c>
      <c r="AA40" s="70">
        <f>U40-(G40-H40)</f>
        <v/>
      </c>
      <c r="AD40" s="5">
        <f>E40-I40</f>
        <v/>
      </c>
    </row>
    <row r="41">
      <c r="A41" s="11" t="n">
        <v>22950</v>
      </c>
      <c r="B41" s="14" t="n">
        <v>562</v>
      </c>
      <c r="C41" s="14" t="n">
        <v>568.7</v>
      </c>
      <c r="D41" s="14" t="n">
        <v>403.3</v>
      </c>
      <c r="E41" s="15" t="n">
        <v>413.6</v>
      </c>
      <c r="F41" s="12" t="n">
        <v>337.05</v>
      </c>
      <c r="G41" s="12" t="n">
        <v>543.95</v>
      </c>
      <c r="H41" s="12" t="n">
        <v>337.05</v>
      </c>
      <c r="I41" s="13" t="n">
        <v>529.35</v>
      </c>
      <c r="J41" s="16">
        <f>(E41+I41)/2</f>
        <v/>
      </c>
      <c r="K41" s="16">
        <f>(E43+I39)/2</f>
        <v/>
      </c>
      <c r="L41" s="17">
        <f>A41+E41</f>
        <v/>
      </c>
      <c r="M41" s="18">
        <f>A41-I41</f>
        <v/>
      </c>
      <c r="N41" s="77">
        <f>(C41+D41+E41)/3</f>
        <v/>
      </c>
      <c r="O41" s="77">
        <f>(C41+D41)/2</f>
        <v/>
      </c>
      <c r="P41" s="77">
        <f>(N41-O41)+N41</f>
        <v/>
      </c>
      <c r="Q41" s="77">
        <f>2*N41-D41</f>
        <v/>
      </c>
      <c r="R41" s="77">
        <f>N41+(C41-D41)</f>
        <v/>
      </c>
      <c r="S41" s="77">
        <f>(2*N41)-C41</f>
        <v/>
      </c>
      <c r="T41" s="77">
        <f>N41-(C41-D41)</f>
        <v/>
      </c>
      <c r="U41" s="70">
        <f>(G41+H41+I41)/3</f>
        <v/>
      </c>
      <c r="V41" s="70">
        <f>(G41+H41)/2</f>
        <v/>
      </c>
      <c r="W41" s="70">
        <f>(U41-V41)+U41</f>
        <v/>
      </c>
      <c r="X41" s="70">
        <f>2*U41-H41</f>
        <v/>
      </c>
      <c r="Y41" s="70">
        <f>U41+(G41-H41)</f>
        <v/>
      </c>
      <c r="Z41" s="70">
        <f>(2*U41)-G41</f>
        <v/>
      </c>
      <c r="AA41" s="70">
        <f>U41-(G41-H41)</f>
        <v/>
      </c>
      <c r="AD41" s="5">
        <f>E41-I41</f>
        <v/>
      </c>
    </row>
    <row r="42">
      <c r="A42" s="19" t="n">
        <v>23000</v>
      </c>
      <c r="B42" s="14" t="n">
        <v>549.05</v>
      </c>
      <c r="C42" s="14" t="n">
        <v>561.65</v>
      </c>
      <c r="D42" s="14" t="n">
        <v>380</v>
      </c>
      <c r="E42" s="15" t="n">
        <v>390.1</v>
      </c>
      <c r="F42" s="12" t="n">
        <v>344</v>
      </c>
      <c r="G42" s="12" t="n">
        <v>569.25</v>
      </c>
      <c r="H42" s="12" t="n">
        <v>343.15</v>
      </c>
      <c r="I42" s="13" t="n">
        <v>556.85</v>
      </c>
      <c r="J42" s="16">
        <f>(E42+I42)/2</f>
        <v/>
      </c>
      <c r="K42" s="16">
        <f>(E44+I40)/2</f>
        <v/>
      </c>
      <c r="L42" s="17">
        <f>A42+E42</f>
        <v/>
      </c>
      <c r="M42" s="18">
        <f>A42-I42</f>
        <v/>
      </c>
      <c r="N42" s="77">
        <f>(C42+D42+E42)/3</f>
        <v/>
      </c>
      <c r="O42" s="77">
        <f>(C42+D42)/2</f>
        <v/>
      </c>
      <c r="P42" s="77">
        <f>(N42-O42)+N42</f>
        <v/>
      </c>
      <c r="Q42" s="77">
        <f>2*N42-D42</f>
        <v/>
      </c>
      <c r="R42" s="77">
        <f>N42+(C42-D42)</f>
        <v/>
      </c>
      <c r="S42" s="77">
        <f>(2*N42)-C42</f>
        <v/>
      </c>
      <c r="T42" s="77">
        <f>N42-(C42-D42)</f>
        <v/>
      </c>
      <c r="U42" s="70">
        <f>(G42+H42+I42)/3</f>
        <v/>
      </c>
      <c r="V42" s="70">
        <f>(G42+H42)/2</f>
        <v/>
      </c>
      <c r="W42" s="70">
        <f>(U42-V42)+U42</f>
        <v/>
      </c>
      <c r="X42" s="70">
        <f>2*U42-H42</f>
        <v/>
      </c>
      <c r="Y42" s="70">
        <f>U42+(G42-H42)</f>
        <v/>
      </c>
      <c r="Z42" s="70">
        <f>(2*U42)-G42</f>
        <v/>
      </c>
      <c r="AA42" s="70">
        <f>U42-(G42-H42)</f>
        <v/>
      </c>
      <c r="AD42" s="5">
        <f>E42-I42</f>
        <v/>
      </c>
    </row>
    <row r="43">
      <c r="A43" s="11" t="n">
        <v>23050</v>
      </c>
      <c r="B43" s="14" t="n">
        <v>487.05</v>
      </c>
      <c r="C43" s="14" t="n">
        <v>508.5</v>
      </c>
      <c r="D43" s="14" t="n">
        <v>354.15</v>
      </c>
      <c r="E43" s="15" t="n">
        <v>366.75</v>
      </c>
      <c r="F43" s="12" t="n">
        <v>380.75</v>
      </c>
      <c r="G43" s="12" t="n">
        <v>594.9</v>
      </c>
      <c r="H43" s="12" t="n">
        <v>380.05</v>
      </c>
      <c r="I43" s="13" t="n">
        <v>581.2</v>
      </c>
      <c r="J43" s="16">
        <f>(E43+I43)/2</f>
        <v/>
      </c>
      <c r="K43" s="16">
        <f>(E45+I41)/2</f>
        <v/>
      </c>
      <c r="L43" s="17">
        <f>A43+E43</f>
        <v/>
      </c>
      <c r="M43" s="18">
        <f>A43-I43</f>
        <v/>
      </c>
      <c r="N43" s="77">
        <f>(C43+D43+E43)/3</f>
        <v/>
      </c>
      <c r="O43" s="77">
        <f>(C43+D43)/2</f>
        <v/>
      </c>
      <c r="P43" s="77">
        <f>(N43-O43)+N43</f>
        <v/>
      </c>
      <c r="Q43" s="77">
        <f>2*N43-D43</f>
        <v/>
      </c>
      <c r="R43" s="77">
        <f>N43+(C43-D43)</f>
        <v/>
      </c>
      <c r="S43" s="77">
        <f>(2*N43)-C43</f>
        <v/>
      </c>
      <c r="T43" s="77">
        <f>N43-(C43-D43)</f>
        <v/>
      </c>
      <c r="U43" s="70">
        <f>(G43+H43+I43)/3</f>
        <v/>
      </c>
      <c r="V43" s="70">
        <f>(G43+H43)/2</f>
        <v/>
      </c>
      <c r="W43" s="70">
        <f>(U43-V43)+U43</f>
        <v/>
      </c>
      <c r="X43" s="70">
        <f>2*U43-H43</f>
        <v/>
      </c>
      <c r="Y43" s="70">
        <f>U43+(G43-H43)</f>
        <v/>
      </c>
      <c r="Z43" s="70">
        <f>(2*U43)-G43</f>
        <v/>
      </c>
      <c r="AA43" s="70">
        <f>U43-(G43-H43)</f>
        <v/>
      </c>
      <c r="AD43" s="5">
        <f>E43-I43</f>
        <v/>
      </c>
    </row>
    <row r="44">
      <c r="A44" s="19" t="n">
        <v>23100</v>
      </c>
      <c r="B44" s="14" t="n">
        <v>469.1</v>
      </c>
      <c r="C44" s="14" t="n">
        <v>485.2</v>
      </c>
      <c r="D44" s="14" t="n">
        <v>333.05</v>
      </c>
      <c r="E44" s="15" t="n">
        <v>344.55</v>
      </c>
      <c r="F44" s="12" t="n">
        <v>396</v>
      </c>
      <c r="G44" s="12" t="n">
        <v>624</v>
      </c>
      <c r="H44" s="12" t="n">
        <v>386.8</v>
      </c>
      <c r="I44" s="13" t="n">
        <v>610.3</v>
      </c>
      <c r="J44" s="16">
        <f>(E44+I44)/2</f>
        <v/>
      </c>
      <c r="K44" s="16">
        <f>(E46+I42)/2</f>
        <v/>
      </c>
      <c r="L44" s="17">
        <f>A44+E44</f>
        <v/>
      </c>
      <c r="M44" s="18">
        <f>A44-I44</f>
        <v/>
      </c>
      <c r="N44" s="77">
        <f>(C44+D44+E44)/3</f>
        <v/>
      </c>
      <c r="O44" s="77">
        <f>(C44+D44)/2</f>
        <v/>
      </c>
      <c r="P44" s="77">
        <f>(N44-O44)+N44</f>
        <v/>
      </c>
      <c r="Q44" s="77">
        <f>2*N44-D44</f>
        <v/>
      </c>
      <c r="R44" s="77">
        <f>N44+(C44-D44)</f>
        <v/>
      </c>
      <c r="S44" s="77">
        <f>(2*N44)-C44</f>
        <v/>
      </c>
      <c r="T44" s="77">
        <f>N44-(C44-D44)</f>
        <v/>
      </c>
      <c r="U44" s="70">
        <f>(G44+H44+I44)/3</f>
        <v/>
      </c>
      <c r="V44" s="70">
        <f>(G44+H44)/2</f>
        <v/>
      </c>
      <c r="W44" s="70">
        <f>(U44-V44)+U44</f>
        <v/>
      </c>
      <c r="X44" s="70">
        <f>2*U44-H44</f>
        <v/>
      </c>
      <c r="Y44" s="70">
        <f>U44+(G44-H44)</f>
        <v/>
      </c>
      <c r="Z44" s="70">
        <f>(2*U44)-G44</f>
        <v/>
      </c>
      <c r="AA44" s="70">
        <f>U44-(G44-H44)</f>
        <v/>
      </c>
      <c r="AD44" s="5">
        <f>E44-I44</f>
        <v/>
      </c>
    </row>
    <row r="45">
      <c r="A45" s="11" t="n">
        <v>23150</v>
      </c>
      <c r="B45" s="14" t="n">
        <v>480.5</v>
      </c>
      <c r="C45" s="14" t="n">
        <v>480.5</v>
      </c>
      <c r="D45" s="14" t="n">
        <v>295.3</v>
      </c>
      <c r="E45" s="15" t="n">
        <v>320.1</v>
      </c>
      <c r="F45" s="12" t="n">
        <v>410.2</v>
      </c>
      <c r="G45" s="12" t="n">
        <v>650</v>
      </c>
      <c r="H45" s="12" t="n">
        <v>410.1</v>
      </c>
      <c r="I45" s="13" t="n">
        <v>638.5</v>
      </c>
      <c r="J45" s="16">
        <f>(E45+I45)/2</f>
        <v/>
      </c>
      <c r="K45" s="16">
        <f>(E47+I43)/2</f>
        <v/>
      </c>
      <c r="L45" s="17">
        <f>A45+E45</f>
        <v/>
      </c>
      <c r="M45" s="18">
        <f>A45-I45</f>
        <v/>
      </c>
      <c r="N45" s="77">
        <f>(C45+D45+E45)/3</f>
        <v/>
      </c>
      <c r="O45" s="77">
        <f>(C45+D45)/2</f>
        <v/>
      </c>
      <c r="P45" s="77">
        <f>(N45-O45)+N45</f>
        <v/>
      </c>
      <c r="Q45" s="77">
        <f>2*N45-D45</f>
        <v/>
      </c>
      <c r="R45" s="77">
        <f>N45+(C45-D45)</f>
        <v/>
      </c>
      <c r="S45" s="77">
        <f>(2*N45)-C45</f>
        <v/>
      </c>
      <c r="T45" s="77">
        <f>N45-(C45-D45)</f>
        <v/>
      </c>
      <c r="U45" s="70">
        <f>(G45+H45+I45)/3</f>
        <v/>
      </c>
      <c r="V45" s="70">
        <f>(G45+H45)/2</f>
        <v/>
      </c>
      <c r="W45" s="70">
        <f>(U45-V45)+U45</f>
        <v/>
      </c>
      <c r="X45" s="70">
        <f>2*U45-H45</f>
        <v/>
      </c>
      <c r="Y45" s="70">
        <f>U45+(G45-H45)</f>
        <v/>
      </c>
      <c r="Z45" s="70">
        <f>(2*U45)-G45</f>
        <v/>
      </c>
      <c r="AA45" s="70">
        <f>U45-(G45-H45)</f>
        <v/>
      </c>
      <c r="AD45" s="5">
        <f>E45-I45</f>
        <v/>
      </c>
    </row>
    <row r="46">
      <c r="A46" s="19" t="n">
        <v>23200</v>
      </c>
      <c r="B46" s="14" t="n">
        <v>420</v>
      </c>
      <c r="C46" s="14" t="n">
        <v>424.5</v>
      </c>
      <c r="D46" s="14" t="n">
        <v>291</v>
      </c>
      <c r="E46" s="15" t="n">
        <v>301.55</v>
      </c>
      <c r="F46" s="12" t="n">
        <v>435.25</v>
      </c>
      <c r="G46" s="12" t="n">
        <v>680.2</v>
      </c>
      <c r="H46" s="12" t="n">
        <v>428.5</v>
      </c>
      <c r="I46" s="13" t="n">
        <v>666.85</v>
      </c>
      <c r="J46" s="16">
        <f>(E46+I46)/2</f>
        <v/>
      </c>
      <c r="K46" s="16">
        <f>(E48+I44)/2</f>
        <v/>
      </c>
      <c r="L46" s="17">
        <f>A46+E46</f>
        <v/>
      </c>
      <c r="M46" s="18">
        <f>A46-I46</f>
        <v/>
      </c>
      <c r="N46" s="77">
        <f>(C46+D46+E46)/3</f>
        <v/>
      </c>
      <c r="O46" s="77">
        <f>(C46+D46)/2</f>
        <v/>
      </c>
      <c r="P46" s="77">
        <f>(N46-O46)+N46</f>
        <v/>
      </c>
      <c r="Q46" s="77">
        <f>2*N46-D46</f>
        <v/>
      </c>
      <c r="R46" s="77">
        <f>N46+(C46-D46)</f>
        <v/>
      </c>
      <c r="S46" s="77">
        <f>(2*N46)-C46</f>
        <v/>
      </c>
      <c r="T46" s="77">
        <f>N46-(C46-D46)</f>
        <v/>
      </c>
      <c r="U46" s="70">
        <f>(G46+H46+I46)/3</f>
        <v/>
      </c>
      <c r="V46" s="70">
        <f>(G46+H46)/2</f>
        <v/>
      </c>
      <c r="W46" s="70">
        <f>(U46-V46)+U46</f>
        <v/>
      </c>
      <c r="X46" s="70">
        <f>2*U46-H46</f>
        <v/>
      </c>
      <c r="Y46" s="70">
        <f>U46+(G46-H46)</f>
        <v/>
      </c>
      <c r="Z46" s="70">
        <f>(2*U46)-G46</f>
        <v/>
      </c>
      <c r="AA46" s="70">
        <f>U46-(G46-H46)</f>
        <v/>
      </c>
      <c r="AD46" s="5">
        <f>E46-I46</f>
        <v/>
      </c>
    </row>
    <row r="47">
      <c r="A47" s="11" t="n">
        <v>23250</v>
      </c>
      <c r="B47" s="14" t="n">
        <v>374.45</v>
      </c>
      <c r="C47" s="14" t="n">
        <v>395.15</v>
      </c>
      <c r="D47" s="14" t="n">
        <v>272.05</v>
      </c>
      <c r="E47" s="15" t="n">
        <v>281.25</v>
      </c>
      <c r="F47" s="12" t="n">
        <v>399.25</v>
      </c>
      <c r="G47" s="12" t="n">
        <v>740.9</v>
      </c>
      <c r="H47" s="12" t="n">
        <v>399.25</v>
      </c>
      <c r="I47" s="13" t="n">
        <v>695.7</v>
      </c>
      <c r="J47" s="16">
        <f>(E47+I47)/2</f>
        <v/>
      </c>
      <c r="K47" s="16">
        <f>(E49+I45)/2</f>
        <v/>
      </c>
      <c r="L47" s="17">
        <f>A47+E47</f>
        <v/>
      </c>
      <c r="M47" s="18">
        <f>A47-I47</f>
        <v/>
      </c>
      <c r="N47" s="77">
        <f>(C47+D47+E47)/3</f>
        <v/>
      </c>
      <c r="O47" s="77">
        <f>(C47+D47)/2</f>
        <v/>
      </c>
      <c r="P47" s="77">
        <f>(N47-O47)+N47</f>
        <v/>
      </c>
      <c r="Q47" s="77">
        <f>2*N47-D47</f>
        <v/>
      </c>
      <c r="R47" s="77">
        <f>N47+(C47-D47)</f>
        <v/>
      </c>
      <c r="S47" s="77">
        <f>(2*N47)-C47</f>
        <v/>
      </c>
      <c r="T47" s="77">
        <f>N47-(C47-D47)</f>
        <v/>
      </c>
      <c r="U47" s="70">
        <f>(G47+H47+I47)/3</f>
        <v/>
      </c>
      <c r="V47" s="70">
        <f>(G47+H47)/2</f>
        <v/>
      </c>
      <c r="W47" s="70">
        <f>(U47-V47)+U47</f>
        <v/>
      </c>
      <c r="X47" s="70">
        <f>2*U47-H47</f>
        <v/>
      </c>
      <c r="Y47" s="70">
        <f>U47+(G47-H47)</f>
        <v/>
      </c>
      <c r="Z47" s="70">
        <f>(2*U47)-G47</f>
        <v/>
      </c>
      <c r="AA47" s="70">
        <f>U47-(G47-H47)</f>
        <v/>
      </c>
      <c r="AD47" s="5">
        <f>E47-I47</f>
        <v/>
      </c>
    </row>
    <row r="48">
      <c r="A48" s="19" t="n">
        <v>23300</v>
      </c>
      <c r="B48" s="14" t="n">
        <v>380</v>
      </c>
      <c r="C48" s="14" t="n">
        <v>380</v>
      </c>
      <c r="D48" s="14" t="n">
        <v>251.6</v>
      </c>
      <c r="E48" s="15" t="n">
        <v>261.45</v>
      </c>
      <c r="F48" s="12" t="n">
        <v>489.95</v>
      </c>
      <c r="G48" s="12" t="n">
        <v>738</v>
      </c>
      <c r="H48" s="12" t="n">
        <v>460</v>
      </c>
      <c r="I48" s="13" t="n">
        <v>726.5</v>
      </c>
      <c r="J48" s="16">
        <f>(E48+I48)/2</f>
        <v/>
      </c>
      <c r="K48" s="16">
        <f>(E50+I46)/2</f>
        <v/>
      </c>
      <c r="L48" s="17">
        <f>A48+E48</f>
        <v/>
      </c>
      <c r="M48" s="18">
        <f>A48-I48</f>
        <v/>
      </c>
      <c r="N48" s="77">
        <f>(C48+D48+E48)/3</f>
        <v/>
      </c>
      <c r="O48" s="77">
        <f>(C48+D48)/2</f>
        <v/>
      </c>
      <c r="P48" s="77">
        <f>(N48-O48)+N48</f>
        <v/>
      </c>
      <c r="Q48" s="77">
        <f>2*N48-D48</f>
        <v/>
      </c>
      <c r="R48" s="77">
        <f>N48+(C48-D48)</f>
        <v/>
      </c>
      <c r="S48" s="77">
        <f>(2*N48)-C48</f>
        <v/>
      </c>
      <c r="T48" s="77">
        <f>N48-(C48-D48)</f>
        <v/>
      </c>
      <c r="U48" s="70">
        <f>(G48+H48+I48)/3</f>
        <v/>
      </c>
      <c r="V48" s="70">
        <f>(G48+H48)/2</f>
        <v/>
      </c>
      <c r="W48" s="70">
        <f>(U48-V48)+U48</f>
        <v/>
      </c>
      <c r="X48" s="70">
        <f>2*U48-H48</f>
        <v/>
      </c>
      <c r="Y48" s="70">
        <f>U48+(G48-H48)</f>
        <v/>
      </c>
      <c r="Z48" s="70">
        <f>(2*U48)-G48</f>
        <v/>
      </c>
      <c r="AA48" s="70">
        <f>U48-(G48-H48)</f>
        <v/>
      </c>
      <c r="AD48" s="5">
        <f>E48-I48</f>
        <v/>
      </c>
    </row>
    <row r="49">
      <c r="A49" s="11" t="n">
        <v>23350</v>
      </c>
      <c r="B49" s="14" t="n">
        <v>339.25</v>
      </c>
      <c r="C49" s="14" t="n">
        <v>347.25</v>
      </c>
      <c r="D49" s="14" t="n">
        <v>235.3</v>
      </c>
      <c r="E49" s="15" t="n">
        <v>244.15</v>
      </c>
      <c r="F49" s="12" t="n">
        <v>462.4</v>
      </c>
      <c r="G49" s="12" t="n">
        <v>804.15</v>
      </c>
      <c r="H49" s="12" t="n">
        <v>462.4</v>
      </c>
      <c r="I49" s="13" t="n">
        <v>755.45</v>
      </c>
      <c r="J49" s="16">
        <f>(E49+I49)/2</f>
        <v/>
      </c>
      <c r="K49" s="16">
        <f>(E51+I47)/2</f>
        <v/>
      </c>
      <c r="L49" s="17">
        <f>A49+E49</f>
        <v/>
      </c>
      <c r="M49" s="18">
        <f>A49-I49</f>
        <v/>
      </c>
      <c r="N49" s="77">
        <f>(C49+D49+E49)/3</f>
        <v/>
      </c>
      <c r="O49" s="77">
        <f>(C49+D49)/2</f>
        <v/>
      </c>
      <c r="P49" s="77">
        <f>(N49-O49)+N49</f>
        <v/>
      </c>
      <c r="Q49" s="77">
        <f>2*N49-D49</f>
        <v/>
      </c>
      <c r="R49" s="77">
        <f>N49+(C49-D49)</f>
        <v/>
      </c>
      <c r="S49" s="77">
        <f>(2*N49)-C49</f>
        <v/>
      </c>
      <c r="T49" s="77">
        <f>N49-(C49-D49)</f>
        <v/>
      </c>
      <c r="U49" s="70">
        <f>(G49+H49+I49)/3</f>
        <v/>
      </c>
      <c r="V49" s="70">
        <f>(G49+H49)/2</f>
        <v/>
      </c>
      <c r="W49" s="70">
        <f>(U49-V49)+U49</f>
        <v/>
      </c>
      <c r="X49" s="70">
        <f>2*U49-H49</f>
        <v/>
      </c>
      <c r="Y49" s="70">
        <f>U49+(G49-H49)</f>
        <v/>
      </c>
      <c r="Z49" s="70">
        <f>(2*U49)-G49</f>
        <v/>
      </c>
      <c r="AA49" s="70">
        <f>U49-(G49-H49)</f>
        <v/>
      </c>
      <c r="AD49" s="5">
        <f>E49-I49</f>
        <v/>
      </c>
    </row>
    <row r="50">
      <c r="A50" s="19" t="n">
        <v>23400</v>
      </c>
      <c r="B50" s="14" t="n">
        <v>360</v>
      </c>
      <c r="C50" s="14" t="n">
        <v>360</v>
      </c>
      <c r="D50" s="14" t="n">
        <v>216</v>
      </c>
      <c r="E50" s="15" t="n">
        <v>225.4</v>
      </c>
      <c r="F50" s="12" t="n">
        <v>532</v>
      </c>
      <c r="G50" s="12" t="n">
        <v>799</v>
      </c>
      <c r="H50" s="12" t="n">
        <v>530.05</v>
      </c>
      <c r="I50" s="13" t="n">
        <v>786.45</v>
      </c>
      <c r="J50" s="16">
        <f>(E50+I50)/2</f>
        <v/>
      </c>
      <c r="K50" s="16">
        <f>(E52+I48)/2</f>
        <v/>
      </c>
      <c r="L50" s="17">
        <f>A50+E50</f>
        <v/>
      </c>
      <c r="M50" s="18">
        <f>A50-I50</f>
        <v/>
      </c>
      <c r="N50" s="77">
        <f>(C50+D50+E50)/3</f>
        <v/>
      </c>
      <c r="O50" s="77">
        <f>(C50+D50)/2</f>
        <v/>
      </c>
      <c r="P50" s="77">
        <f>(N50-O50)+N50</f>
        <v/>
      </c>
      <c r="Q50" s="77">
        <f>2*N50-D50</f>
        <v/>
      </c>
      <c r="R50" s="77">
        <f>N50+(C50-D50)</f>
        <v/>
      </c>
      <c r="S50" s="77">
        <f>(2*N50)-C50</f>
        <v/>
      </c>
      <c r="T50" s="77">
        <f>N50-(C50-D50)</f>
        <v/>
      </c>
      <c r="U50" s="70">
        <f>(G50+H50+I50)/3</f>
        <v/>
      </c>
      <c r="V50" s="70">
        <f>(G50+H50)/2</f>
        <v/>
      </c>
      <c r="W50" s="70">
        <f>(U50-V50)+U50</f>
        <v/>
      </c>
      <c r="X50" s="70">
        <f>2*U50-H50</f>
        <v/>
      </c>
      <c r="Y50" s="70">
        <f>U50+(G50-H50)</f>
        <v/>
      </c>
      <c r="Z50" s="70">
        <f>(2*U50)-G50</f>
        <v/>
      </c>
      <c r="AA50" s="70">
        <f>U50-(G50-H50)</f>
        <v/>
      </c>
      <c r="AD50" s="5">
        <f>E50-I50</f>
        <v/>
      </c>
    </row>
    <row r="51">
      <c r="A51" s="11" t="n">
        <v>23450</v>
      </c>
      <c r="B51" s="14" t="n">
        <v>290.85</v>
      </c>
      <c r="C51" s="14" t="n">
        <v>301.6</v>
      </c>
      <c r="D51" s="14" t="n">
        <v>199.95</v>
      </c>
      <c r="E51" s="15" t="n">
        <v>208.8</v>
      </c>
      <c r="F51" s="12" t="n">
        <v>563</v>
      </c>
      <c r="G51" s="12" t="n">
        <v>831.85</v>
      </c>
      <c r="H51" s="12" t="n">
        <v>559.5</v>
      </c>
      <c r="I51" s="13" t="n">
        <v>821.7</v>
      </c>
      <c r="J51" s="16">
        <f>(E51+I51)/2</f>
        <v/>
      </c>
      <c r="K51" s="16">
        <f>(E53+I49)/2</f>
        <v/>
      </c>
      <c r="L51" s="17">
        <f>A51+E51</f>
        <v/>
      </c>
      <c r="M51" s="18">
        <f>A51-I51</f>
        <v/>
      </c>
      <c r="N51" s="77">
        <f>(C51+D51+E51)/3</f>
        <v/>
      </c>
      <c r="O51" s="77">
        <f>(C51+D51)/2</f>
        <v/>
      </c>
      <c r="P51" s="77">
        <f>(N51-O51)+N51</f>
        <v/>
      </c>
      <c r="Q51" s="77">
        <f>2*N51-D51</f>
        <v/>
      </c>
      <c r="R51" s="77">
        <f>N51+(C51-D51)</f>
        <v/>
      </c>
      <c r="S51" s="77">
        <f>(2*N51)-C51</f>
        <v/>
      </c>
      <c r="T51" s="77">
        <f>N51-(C51-D51)</f>
        <v/>
      </c>
      <c r="U51" s="70">
        <f>(G51+H51+I51)/3</f>
        <v/>
      </c>
      <c r="V51" s="70">
        <f>(G51+H51)/2</f>
        <v/>
      </c>
      <c r="W51" s="70">
        <f>(U51-V51)+U51</f>
        <v/>
      </c>
      <c r="X51" s="70">
        <f>2*U51-H51</f>
        <v/>
      </c>
      <c r="Y51" s="70">
        <f>U51+(G51-H51)</f>
        <v/>
      </c>
      <c r="Z51" s="70">
        <f>(2*U51)-G51</f>
        <v/>
      </c>
      <c r="AA51" s="70">
        <f>U51-(G51-H51)</f>
        <v/>
      </c>
      <c r="AD51" s="5">
        <f>E51-I51</f>
        <v/>
      </c>
    </row>
    <row r="52">
      <c r="A52" s="19" t="n">
        <v>23500</v>
      </c>
      <c r="B52" s="14" t="n">
        <v>279</v>
      </c>
      <c r="C52" s="14" t="n">
        <v>280.85</v>
      </c>
      <c r="D52" s="14" t="n">
        <v>186.1</v>
      </c>
      <c r="E52" s="15" t="n">
        <v>194.5</v>
      </c>
      <c r="F52" s="12" t="n">
        <v>579</v>
      </c>
      <c r="G52" s="12" t="n">
        <v>869.15</v>
      </c>
      <c r="H52" s="12" t="n">
        <v>577.95</v>
      </c>
      <c r="I52" s="13" t="n">
        <v>855.85</v>
      </c>
      <c r="J52" s="16">
        <f>(E52+I52)/2</f>
        <v/>
      </c>
      <c r="K52" s="16">
        <f>(E54+I50)/2</f>
        <v/>
      </c>
      <c r="L52" s="17">
        <f>A52+E52</f>
        <v/>
      </c>
      <c r="M52" s="18">
        <f>A52-I52</f>
        <v/>
      </c>
      <c r="N52" s="77">
        <f>(C52+D52+E52)/3</f>
        <v/>
      </c>
      <c r="O52" s="77">
        <f>(C52+D52)/2</f>
        <v/>
      </c>
      <c r="P52" s="77">
        <f>(N52-O52)+N52</f>
        <v/>
      </c>
      <c r="Q52" s="77">
        <f>2*N52-D52</f>
        <v/>
      </c>
      <c r="R52" s="77">
        <f>N52+(C52-D52)</f>
        <v/>
      </c>
      <c r="S52" s="77">
        <f>(2*N52)-C52</f>
        <v/>
      </c>
      <c r="T52" s="77">
        <f>N52-(C52-D52)</f>
        <v/>
      </c>
      <c r="U52" s="70">
        <f>(G52+H52+I52)/3</f>
        <v/>
      </c>
      <c r="V52" s="70">
        <f>(G52+H52)/2</f>
        <v/>
      </c>
      <c r="W52" s="70">
        <f>(U52-V52)+U52</f>
        <v/>
      </c>
      <c r="X52" s="70">
        <f>2*U52-H52</f>
        <v/>
      </c>
      <c r="Y52" s="70">
        <f>U52+(G52-H52)</f>
        <v/>
      </c>
      <c r="Z52" s="70">
        <f>(2*U52)-G52</f>
        <v/>
      </c>
      <c r="AA52" s="70">
        <f>U52-(G52-H52)</f>
        <v/>
      </c>
      <c r="AD52" s="5">
        <f>E52-I52</f>
        <v/>
      </c>
    </row>
    <row r="53">
      <c r="A53" s="11" t="n">
        <v>23550</v>
      </c>
      <c r="B53" s="14" t="n">
        <v>250</v>
      </c>
      <c r="C53" s="14" t="n">
        <v>299.25</v>
      </c>
      <c r="D53" s="14" t="n">
        <v>171.95</v>
      </c>
      <c r="E53" s="15" t="n">
        <v>179.8</v>
      </c>
      <c r="F53" s="12" t="n">
        <v>600</v>
      </c>
      <c r="G53" s="12" t="n">
        <v>894.5</v>
      </c>
      <c r="H53" s="12" t="n">
        <v>600</v>
      </c>
      <c r="I53" s="13" t="n">
        <v>884.6</v>
      </c>
      <c r="J53" s="16">
        <f>(E53+I53)/2</f>
        <v/>
      </c>
      <c r="K53" s="16">
        <f>(E55+I51)/2</f>
        <v/>
      </c>
      <c r="L53" s="17">
        <f>A53+E53</f>
        <v/>
      </c>
      <c r="M53" s="18">
        <f>A53-I53</f>
        <v/>
      </c>
      <c r="N53" s="77">
        <f>(C53+D53+E53)/3</f>
        <v/>
      </c>
      <c r="O53" s="77">
        <f>(C53+D53)/2</f>
        <v/>
      </c>
      <c r="P53" s="77">
        <f>(N53-O53)+N53</f>
        <v/>
      </c>
      <c r="Q53" s="77">
        <f>2*N53-D53</f>
        <v/>
      </c>
      <c r="R53" s="77">
        <f>N53+(C53-D53)</f>
        <v/>
      </c>
      <c r="S53" s="77">
        <f>(2*N53)-C53</f>
        <v/>
      </c>
      <c r="T53" s="77">
        <f>N53-(C53-D53)</f>
        <v/>
      </c>
      <c r="U53" s="70">
        <f>(G53+H53+I53)/3</f>
        <v/>
      </c>
      <c r="V53" s="70">
        <f>(G53+H53)/2</f>
        <v/>
      </c>
      <c r="W53" s="70">
        <f>(U53-V53)+U53</f>
        <v/>
      </c>
      <c r="X53" s="70">
        <f>2*U53-H53</f>
        <v/>
      </c>
      <c r="Y53" s="70">
        <f>U53+(G53-H53)</f>
        <v/>
      </c>
      <c r="Z53" s="70">
        <f>(2*U53)-G53</f>
        <v/>
      </c>
      <c r="AA53" s="70">
        <f>U53-(G53-H53)</f>
        <v/>
      </c>
      <c r="AD53" s="5">
        <f>E53-I53</f>
        <v/>
      </c>
    </row>
    <row r="54">
      <c r="A54" s="19" t="n">
        <v>23600</v>
      </c>
      <c r="B54" s="14" t="n">
        <v>265</v>
      </c>
      <c r="C54" s="14" t="n">
        <v>265</v>
      </c>
      <c r="D54" s="14" t="n">
        <v>158.55</v>
      </c>
      <c r="E54" s="15" t="n">
        <v>164.3</v>
      </c>
      <c r="F54" s="12" t="n">
        <v>659.95</v>
      </c>
      <c r="G54" s="12" t="n">
        <v>935.15</v>
      </c>
      <c r="H54" s="12" t="n">
        <v>656.4</v>
      </c>
      <c r="I54" s="13" t="n">
        <v>925.7</v>
      </c>
      <c r="J54" s="16">
        <f>(E54+I54)/2</f>
        <v/>
      </c>
      <c r="K54" s="16">
        <f>(E56+I52)/2</f>
        <v/>
      </c>
      <c r="L54" s="17">
        <f>A54+E54</f>
        <v/>
      </c>
      <c r="M54" s="18">
        <f>A54-I54</f>
        <v/>
      </c>
      <c r="N54" s="77">
        <f>(C54+D54+E54)/3</f>
        <v/>
      </c>
      <c r="O54" s="77">
        <f>(C54+D54)/2</f>
        <v/>
      </c>
      <c r="P54" s="77">
        <f>(N54-O54)+N54</f>
        <v/>
      </c>
      <c r="Q54" s="77">
        <f>2*N54-D54</f>
        <v/>
      </c>
      <c r="R54" s="77">
        <f>N54+(C54-D54)</f>
        <v/>
      </c>
      <c r="S54" s="77">
        <f>(2*N54)-C54</f>
        <v/>
      </c>
      <c r="T54" s="77">
        <f>N54-(C54-D54)</f>
        <v/>
      </c>
      <c r="U54" s="70">
        <f>(G54+H54+I54)/3</f>
        <v/>
      </c>
      <c r="V54" s="70">
        <f>(G54+H54)/2</f>
        <v/>
      </c>
      <c r="W54" s="70">
        <f>(U54-V54)+U54</f>
        <v/>
      </c>
      <c r="X54" s="70">
        <f>2*U54-H54</f>
        <v/>
      </c>
      <c r="Y54" s="70">
        <f>U54+(G54-H54)</f>
        <v/>
      </c>
      <c r="Z54" s="70">
        <f>(2*U54)-G54</f>
        <v/>
      </c>
      <c r="AA54" s="70">
        <f>U54-(G54-H54)</f>
        <v/>
      </c>
    </row>
    <row r="55">
      <c r="A55" s="11" t="n">
        <v>23650</v>
      </c>
      <c r="B55" s="14" t="n">
        <v>200.2</v>
      </c>
      <c r="C55" s="14" t="n">
        <v>221.75</v>
      </c>
      <c r="D55" s="14" t="n">
        <v>146.05</v>
      </c>
      <c r="E55" s="15" t="n">
        <v>153.15</v>
      </c>
      <c r="F55" s="12" t="n">
        <v>736</v>
      </c>
      <c r="G55" s="12" t="n">
        <v>979</v>
      </c>
      <c r="H55" s="12" t="n">
        <v>736</v>
      </c>
      <c r="I55" s="13" t="n">
        <v>969.7</v>
      </c>
      <c r="J55" s="16">
        <f>(E55+I55)/2</f>
        <v/>
      </c>
      <c r="K55" s="16">
        <f>(E57+I53)/2</f>
        <v/>
      </c>
      <c r="L55" s="17">
        <f>A55+E55</f>
        <v/>
      </c>
      <c r="M55" s="18">
        <f>A55-I55</f>
        <v/>
      </c>
      <c r="N55" s="77">
        <f>(C55+D55+E55)/3</f>
        <v/>
      </c>
      <c r="O55" s="77">
        <f>(C55+D55)/2</f>
        <v/>
      </c>
      <c r="P55" s="77">
        <f>(N55-O55)+N55</f>
        <v/>
      </c>
      <c r="Q55" s="77">
        <f>2*N55-D55</f>
        <v/>
      </c>
      <c r="R55" s="77">
        <f>N55+(C55-D55)</f>
        <v/>
      </c>
      <c r="S55" s="77">
        <f>(2*N55)-C55</f>
        <v/>
      </c>
      <c r="T55" s="77">
        <f>N55-(C55-D55)</f>
        <v/>
      </c>
      <c r="U55" s="70">
        <f>(G55+H55+I55)/3</f>
        <v/>
      </c>
      <c r="V55" s="70">
        <f>(G55+H55)/2</f>
        <v/>
      </c>
      <c r="W55" s="70">
        <f>(U55-V55)+U55</f>
        <v/>
      </c>
      <c r="X55" s="70">
        <f>2*U55-H55</f>
        <v/>
      </c>
      <c r="Y55" s="70">
        <f>U55+(G55-H55)</f>
        <v/>
      </c>
      <c r="Z55" s="70">
        <f>(2*U55)-G55</f>
        <v/>
      </c>
      <c r="AA55" s="70">
        <f>U55-(G55-H55)</f>
        <v/>
      </c>
    </row>
    <row r="56">
      <c r="A56" s="19" t="n">
        <v>23700</v>
      </c>
      <c r="B56" s="14" t="n">
        <v>243.8</v>
      </c>
      <c r="C56" s="14" t="n">
        <v>243.8</v>
      </c>
      <c r="D56" s="14" t="n">
        <v>132.75</v>
      </c>
      <c r="E56" s="15" t="n">
        <v>138.4</v>
      </c>
      <c r="F56" s="12" t="n">
        <v>713</v>
      </c>
      <c r="G56" s="12" t="n">
        <v>1016</v>
      </c>
      <c r="H56" s="12" t="n">
        <v>713</v>
      </c>
      <c r="I56" s="13" t="n">
        <v>998.35</v>
      </c>
      <c r="J56" s="16">
        <f>(E56+I56)/2</f>
        <v/>
      </c>
      <c r="K56" s="16">
        <f>(E58+I54)/2</f>
        <v/>
      </c>
      <c r="L56" s="17">
        <f>A56+E56</f>
        <v/>
      </c>
      <c r="M56" s="18">
        <f>A56-I56</f>
        <v/>
      </c>
      <c r="N56" s="77">
        <f>(C56+D56+E56)/3</f>
        <v/>
      </c>
      <c r="O56" s="77">
        <f>(C56+D56)/2</f>
        <v/>
      </c>
      <c r="P56" s="77">
        <f>(N56-O56)+N56</f>
        <v/>
      </c>
      <c r="Q56" s="77">
        <f>2*N56-D56</f>
        <v/>
      </c>
      <c r="R56" s="77">
        <f>N56+(C56-D56)</f>
        <v/>
      </c>
      <c r="S56" s="77">
        <f>(2*N56)-C56</f>
        <v/>
      </c>
      <c r="T56" s="77">
        <f>N56-(C56-D56)</f>
        <v/>
      </c>
      <c r="U56" s="70">
        <f>(G56+H56+I56)/3</f>
        <v/>
      </c>
      <c r="V56" s="70">
        <f>(G56+H56)/2</f>
        <v/>
      </c>
      <c r="W56" s="70">
        <f>(U56-V56)+U56</f>
        <v/>
      </c>
      <c r="X56" s="70">
        <f>2*U56-H56</f>
        <v/>
      </c>
      <c r="Y56" s="70">
        <f>U56+(G56-H56)</f>
        <v/>
      </c>
      <c r="Z56" s="70">
        <f>(2*U56)-G56</f>
        <v/>
      </c>
      <c r="AA56" s="70">
        <f>U56-(G56-H56)</f>
        <v/>
      </c>
    </row>
    <row r="57">
      <c r="A57" s="11" t="n">
        <v>23750</v>
      </c>
      <c r="B57" s="14" t="n">
        <v>205</v>
      </c>
      <c r="C57" s="14" t="n">
        <v>205</v>
      </c>
      <c r="D57" s="14" t="n">
        <v>122</v>
      </c>
      <c r="E57" s="15" t="n">
        <v>127.6</v>
      </c>
      <c r="F57" s="12" t="n">
        <v>801.1</v>
      </c>
      <c r="G57" s="12" t="n">
        <v>1080.3</v>
      </c>
      <c r="H57" s="12" t="n">
        <v>801.1</v>
      </c>
      <c r="I57" s="13" t="n">
        <v>1080.3</v>
      </c>
      <c r="J57" s="16">
        <f>(E57+I57)/2</f>
        <v/>
      </c>
      <c r="K57" s="16">
        <f>(E59+I55)/2</f>
        <v/>
      </c>
      <c r="L57" s="17">
        <f>A57+E57</f>
        <v/>
      </c>
      <c r="M57" s="18">
        <f>A57-I57</f>
        <v/>
      </c>
      <c r="N57" s="77">
        <f>(C57+D57+E57)/3</f>
        <v/>
      </c>
      <c r="O57" s="77">
        <f>(C57+D57)/2</f>
        <v/>
      </c>
      <c r="P57" s="77">
        <f>(N57-O57)+N57</f>
        <v/>
      </c>
      <c r="Q57" s="77">
        <f>2*N57-D57</f>
        <v/>
      </c>
      <c r="R57" s="77">
        <f>N57+(C57-D57)</f>
        <v/>
      </c>
      <c r="S57" s="77">
        <f>(2*N57)-C57</f>
        <v/>
      </c>
      <c r="T57" s="77">
        <f>N57-(C57-D57)</f>
        <v/>
      </c>
      <c r="U57" s="70">
        <f>(G57+H57+I57)/3</f>
        <v/>
      </c>
      <c r="V57" s="70">
        <f>(G57+H57)/2</f>
        <v/>
      </c>
      <c r="W57" s="70">
        <f>(U57-V57)+U57</f>
        <v/>
      </c>
      <c r="X57" s="70">
        <f>2*U57-H57</f>
        <v/>
      </c>
      <c r="Y57" s="70">
        <f>U57+(G57-H57)</f>
        <v/>
      </c>
      <c r="Z57" s="70">
        <f>(2*U57)-G57</f>
        <v/>
      </c>
      <c r="AA57" s="70">
        <f>U57-(G57-H57)</f>
        <v/>
      </c>
    </row>
    <row r="58">
      <c r="A58" s="19" t="n">
        <v>23800</v>
      </c>
      <c r="B58" s="14" t="n">
        <v>157.05</v>
      </c>
      <c r="C58" s="14" t="n">
        <v>172.85</v>
      </c>
      <c r="D58" s="14" t="n">
        <v>110.45</v>
      </c>
      <c r="E58" s="15" t="n">
        <v>115.55</v>
      </c>
      <c r="F58" s="12" t="n">
        <v>770</v>
      </c>
      <c r="G58" s="12" t="n">
        <v>1095.05</v>
      </c>
      <c r="H58" s="12" t="n">
        <v>770</v>
      </c>
      <c r="I58" s="13" t="n">
        <v>1082.3</v>
      </c>
      <c r="J58" s="16">
        <f>(E58+I58)/2</f>
        <v/>
      </c>
      <c r="K58" s="16">
        <f>(E60+I56)/2</f>
        <v/>
      </c>
      <c r="L58" s="17">
        <f>A58+E58</f>
        <v/>
      </c>
      <c r="M58" s="18">
        <f>A58-I58</f>
        <v/>
      </c>
      <c r="N58" s="77">
        <f>(C58+D58+E58)/3</f>
        <v/>
      </c>
      <c r="O58" s="77">
        <f>(C58+D58)/2</f>
        <v/>
      </c>
      <c r="P58" s="77">
        <f>(N58-O58)+N58</f>
        <v/>
      </c>
      <c r="Q58" s="77">
        <f>2*N58-D58</f>
        <v/>
      </c>
      <c r="R58" s="77">
        <f>N58+(C58-D58)</f>
        <v/>
      </c>
      <c r="S58" s="77">
        <f>(2*N58)-C58</f>
        <v/>
      </c>
      <c r="T58" s="77">
        <f>N58-(C58-D58)</f>
        <v/>
      </c>
      <c r="U58" s="70">
        <f>(G58+H58+I58)/3</f>
        <v/>
      </c>
      <c r="V58" s="70">
        <f>(G58+H58)/2</f>
        <v/>
      </c>
      <c r="W58" s="70">
        <f>(U58-V58)+U58</f>
        <v/>
      </c>
      <c r="X58" s="70">
        <f>2*U58-H58</f>
        <v/>
      </c>
      <c r="Y58" s="70">
        <f>U58+(G58-H58)</f>
        <v/>
      </c>
      <c r="Z58" s="70">
        <f>(2*U58)-G58</f>
        <v/>
      </c>
      <c r="AA58" s="70">
        <f>U58-(G58-H58)</f>
        <v/>
      </c>
    </row>
    <row r="59">
      <c r="A59" s="11" t="n">
        <v>23850</v>
      </c>
      <c r="B59" s="14" t="n">
        <v>170</v>
      </c>
      <c r="C59" s="14" t="n">
        <v>170</v>
      </c>
      <c r="D59" s="14" t="n">
        <v>100.15</v>
      </c>
      <c r="E59" s="15" t="n">
        <v>105.8</v>
      </c>
      <c r="F59" s="12" t="n">
        <v>970</v>
      </c>
      <c r="G59" s="12" t="n">
        <v>1123.85</v>
      </c>
      <c r="H59" s="12" t="n">
        <v>970</v>
      </c>
      <c r="I59" s="13" t="n">
        <v>1117.6</v>
      </c>
      <c r="J59" s="16">
        <f>(E59+I59)/2</f>
        <v/>
      </c>
      <c r="K59" s="16">
        <f>(E61+I57)/2</f>
        <v/>
      </c>
      <c r="L59" s="17">
        <f>A59+E59</f>
        <v/>
      </c>
      <c r="M59" s="18">
        <f>A59-I59</f>
        <v/>
      </c>
      <c r="N59" s="77">
        <f>(C59+D59+E59)/3</f>
        <v/>
      </c>
      <c r="O59" s="77">
        <f>(C59+D59)/2</f>
        <v/>
      </c>
      <c r="P59" s="77">
        <f>(N59-O59)+N59</f>
        <v/>
      </c>
      <c r="Q59" s="77">
        <f>2*N59-D59</f>
        <v/>
      </c>
      <c r="R59" s="77">
        <f>N59+(C59-D59)</f>
        <v/>
      </c>
      <c r="S59" s="77">
        <f>(2*N59)-C59</f>
        <v/>
      </c>
      <c r="T59" s="77">
        <f>N59-(C59-D59)</f>
        <v/>
      </c>
      <c r="U59" s="70">
        <f>(G59+H59+I59)/3</f>
        <v/>
      </c>
      <c r="V59" s="70">
        <f>(G59+H59)/2</f>
        <v/>
      </c>
      <c r="W59" s="70">
        <f>(U59-V59)+U59</f>
        <v/>
      </c>
      <c r="X59" s="70">
        <f>2*U59-H59</f>
        <v/>
      </c>
      <c r="Y59" s="70">
        <f>U59+(G59-H59)</f>
        <v/>
      </c>
      <c r="Z59" s="70">
        <f>(2*U59)-G59</f>
        <v/>
      </c>
      <c r="AA59" s="70">
        <f>U59-(G59-H59)</f>
        <v/>
      </c>
    </row>
    <row r="60">
      <c r="A60" s="19" t="n">
        <v>23900</v>
      </c>
      <c r="B60" s="14" t="n">
        <v>169.6</v>
      </c>
      <c r="C60" s="14" t="n">
        <v>169.6</v>
      </c>
      <c r="D60" s="14" t="n">
        <v>92.05</v>
      </c>
      <c r="E60" s="15" t="n">
        <v>96.84999999999999</v>
      </c>
      <c r="F60" s="12" t="n">
        <v>924.55</v>
      </c>
      <c r="G60" s="12" t="n">
        <v>1169.9</v>
      </c>
      <c r="H60" s="12" t="n">
        <v>900.45</v>
      </c>
      <c r="I60" s="13" t="n">
        <v>1156.1</v>
      </c>
      <c r="J60" s="16">
        <f>(E60+I60)/2</f>
        <v/>
      </c>
      <c r="K60" s="16">
        <f>(E62+I58)/2</f>
        <v/>
      </c>
      <c r="L60" s="17">
        <f>A60+E60</f>
        <v/>
      </c>
      <c r="M60" s="18">
        <f>A60-I60</f>
        <v/>
      </c>
      <c r="N60" s="77">
        <f>(C60+D60+E60)/3</f>
        <v/>
      </c>
      <c r="O60" s="77">
        <f>(C60+D60)/2</f>
        <v/>
      </c>
      <c r="P60" s="77">
        <f>(N60-O60)+N60</f>
        <v/>
      </c>
      <c r="Q60" s="77">
        <f>2*N60-D60</f>
        <v/>
      </c>
      <c r="R60" s="77">
        <f>N60+(C60-D60)</f>
        <v/>
      </c>
      <c r="S60" s="77">
        <f>(2*N60)-C60</f>
        <v/>
      </c>
      <c r="T60" s="77">
        <f>N60-(C60-D60)</f>
        <v/>
      </c>
      <c r="U60" s="70">
        <f>(G60+H60+I60)/3</f>
        <v/>
      </c>
      <c r="V60" s="70">
        <f>(G60+H60)/2</f>
        <v/>
      </c>
      <c r="W60" s="70">
        <f>(U60-V60)+U60</f>
        <v/>
      </c>
      <c r="X60" s="70">
        <f>2*U60-H60</f>
        <v/>
      </c>
      <c r="Y60" s="70">
        <f>U60+(G60-H60)</f>
        <v/>
      </c>
      <c r="Z60" s="70">
        <f>(2*U60)-G60</f>
        <v/>
      </c>
      <c r="AA60" s="70">
        <f>U60-(G60-H60)</f>
        <v/>
      </c>
    </row>
    <row r="61">
      <c r="A61" s="11" t="n">
        <v>23950</v>
      </c>
      <c r="B61" s="14" t="n">
        <v>157.5</v>
      </c>
      <c r="C61" s="14" t="n">
        <v>157.5</v>
      </c>
      <c r="D61" s="14" t="n">
        <v>83</v>
      </c>
      <c r="E61" s="15" t="n">
        <v>87.40000000000001</v>
      </c>
      <c r="F61" s="12" t="n">
        <v>1021.95</v>
      </c>
      <c r="G61" s="12" t="n">
        <v>1104.1</v>
      </c>
      <c r="H61" s="12" t="n">
        <v>1021.95</v>
      </c>
      <c r="I61" s="13" t="n">
        <v>1096.05</v>
      </c>
      <c r="J61" s="16">
        <f>(E61+I61)/2</f>
        <v/>
      </c>
      <c r="K61" s="16">
        <f>(E63+I59)/2</f>
        <v/>
      </c>
      <c r="L61" s="17">
        <f>A61+E61</f>
        <v/>
      </c>
      <c r="M61" s="18">
        <f>A61-I61</f>
        <v/>
      </c>
      <c r="N61" s="77">
        <f>(C61+D61+E61)/3</f>
        <v/>
      </c>
      <c r="O61" s="77">
        <f>(C61+D61)/2</f>
        <v/>
      </c>
      <c r="P61" s="77">
        <f>(N61-O61)+N61</f>
        <v/>
      </c>
      <c r="Q61" s="77">
        <f>2*N61-D61</f>
        <v/>
      </c>
      <c r="R61" s="77">
        <f>N61+(C61-D61)</f>
        <v/>
      </c>
      <c r="S61" s="77">
        <f>(2*N61)-C61</f>
        <v/>
      </c>
      <c r="T61" s="77">
        <f>N61-(C61-D61)</f>
        <v/>
      </c>
      <c r="U61" s="70">
        <f>(G61+H61+I61)/3</f>
        <v/>
      </c>
      <c r="V61" s="70">
        <f>(G61+H61)/2</f>
        <v/>
      </c>
      <c r="W61" s="70">
        <f>(U61-V61)+U61</f>
        <v/>
      </c>
      <c r="X61" s="70">
        <f>2*U61-H61</f>
        <v/>
      </c>
      <c r="Y61" s="70">
        <f>U61+(G61-H61)</f>
        <v/>
      </c>
      <c r="Z61" s="70">
        <f>(2*U61)-G61</f>
        <v/>
      </c>
      <c r="AA61" s="70">
        <f>U61-(G61-H61)</f>
        <v/>
      </c>
    </row>
    <row r="62">
      <c r="A62" s="19" t="n">
        <v>24000</v>
      </c>
      <c r="B62" s="14" t="n">
        <v>143.9</v>
      </c>
      <c r="C62" s="14" t="n">
        <v>143.9</v>
      </c>
      <c r="D62" s="14" t="n">
        <v>75.2</v>
      </c>
      <c r="E62" s="15" t="n">
        <v>79.2</v>
      </c>
      <c r="F62" s="12" t="n">
        <v>919</v>
      </c>
      <c r="G62" s="12" t="n">
        <v>1257.15</v>
      </c>
      <c r="H62" s="12" t="n">
        <v>919</v>
      </c>
      <c r="I62" s="13" t="n">
        <v>1239.1</v>
      </c>
      <c r="J62" s="16">
        <f>(E62+I62)/2</f>
        <v/>
      </c>
      <c r="K62" s="16">
        <f>(E64+I60)/2</f>
        <v/>
      </c>
      <c r="L62" s="17">
        <f>A62+E62</f>
        <v/>
      </c>
      <c r="M62" s="18">
        <f>A62-I62</f>
        <v/>
      </c>
      <c r="N62" s="77">
        <f>(C62+D62+E62)/3</f>
        <v/>
      </c>
      <c r="O62" s="77">
        <f>(C62+D62)/2</f>
        <v/>
      </c>
      <c r="P62" s="77">
        <f>(N62-O62)+N62</f>
        <v/>
      </c>
      <c r="Q62" s="77">
        <f>2*N62-D62</f>
        <v/>
      </c>
      <c r="R62" s="77">
        <f>N62+(C62-D62)</f>
        <v/>
      </c>
      <c r="S62" s="77">
        <f>(2*N62)-C62</f>
        <v/>
      </c>
      <c r="T62" s="77">
        <f>N62-(C62-D62)</f>
        <v/>
      </c>
      <c r="U62" s="70">
        <f>(G62+H62+I62)/3</f>
        <v/>
      </c>
      <c r="V62" s="70">
        <f>(G62+H62)/2</f>
        <v/>
      </c>
      <c r="W62" s="70">
        <f>(U62-V62)+U62</f>
        <v/>
      </c>
      <c r="X62" s="70">
        <f>2*U62-H62</f>
        <v/>
      </c>
      <c r="Y62" s="70">
        <f>U62+(G62-H62)</f>
        <v/>
      </c>
      <c r="Z62" s="70">
        <f>(2*U62)-G62</f>
        <v/>
      </c>
      <c r="AA62" s="70">
        <f>U62-(G62-H62)</f>
        <v/>
      </c>
    </row>
    <row r="63">
      <c r="A63" s="11" t="n">
        <v>24050</v>
      </c>
      <c r="B63" s="14" t="n">
        <v>97.5</v>
      </c>
      <c r="C63" s="14" t="n">
        <v>108.3</v>
      </c>
      <c r="D63" s="14" t="n">
        <v>68.25</v>
      </c>
      <c r="E63" s="15" t="n">
        <v>72.15000000000001</v>
      </c>
      <c r="F63" s="12" t="n">
        <v>1001.95</v>
      </c>
      <c r="G63" s="12" t="n">
        <v>1206.9</v>
      </c>
      <c r="H63" s="12" t="n">
        <v>1001.9</v>
      </c>
      <c r="I63" s="13" t="n">
        <v>1206.9</v>
      </c>
      <c r="J63" s="16">
        <f>(E63+I63)/2</f>
        <v/>
      </c>
      <c r="K63" s="16">
        <f>(E65+I61)/2</f>
        <v/>
      </c>
      <c r="L63" s="17">
        <f>A63+E63</f>
        <v/>
      </c>
      <c r="M63" s="18">
        <f>A63-I63</f>
        <v/>
      </c>
      <c r="N63" s="77">
        <f>(C63+D63+E63)/3</f>
        <v/>
      </c>
      <c r="O63" s="77">
        <f>(C63+D63)/2</f>
        <v/>
      </c>
      <c r="P63" s="77">
        <f>(N63-O63)+N63</f>
        <v/>
      </c>
      <c r="Q63" s="77">
        <f>2*N63-D63</f>
        <v/>
      </c>
      <c r="R63" s="77">
        <f>N63+(C63-D63)</f>
        <v/>
      </c>
      <c r="S63" s="77">
        <f>(2*N63)-C63</f>
        <v/>
      </c>
      <c r="T63" s="77">
        <f>N63-(C63-D63)</f>
        <v/>
      </c>
      <c r="U63" s="70">
        <f>(G63+H63+I63)/3</f>
        <v/>
      </c>
      <c r="V63" s="70">
        <f>(G63+H63)/2</f>
        <v/>
      </c>
      <c r="W63" s="70">
        <f>(U63-V63)+U63</f>
        <v/>
      </c>
      <c r="X63" s="70">
        <f>2*U63-H63</f>
        <v/>
      </c>
      <c r="Y63" s="70">
        <f>U63+(G63-H63)</f>
        <v/>
      </c>
      <c r="Z63" s="70">
        <f>(2*U63)-G63</f>
        <v/>
      </c>
      <c r="AA63" s="70">
        <f>U63-(G63-H63)</f>
        <v/>
      </c>
    </row>
    <row r="64">
      <c r="A64" s="19" t="n">
        <v>24100</v>
      </c>
      <c r="B64" s="14" t="n">
        <v>99.95</v>
      </c>
      <c r="C64" s="14" t="n">
        <v>99.95</v>
      </c>
      <c r="D64" s="14" t="n">
        <v>61</v>
      </c>
      <c r="E64" s="15" t="n">
        <v>64.84999999999999</v>
      </c>
      <c r="F64" s="12" t="n">
        <v>1049.6</v>
      </c>
      <c r="G64" s="12" t="n">
        <v>1323.2</v>
      </c>
      <c r="H64" s="12" t="n">
        <v>1049.55</v>
      </c>
      <c r="I64" s="13" t="n">
        <v>1323.2</v>
      </c>
      <c r="J64" s="16">
        <f>(E64+I64)/2</f>
        <v/>
      </c>
      <c r="K64" s="16">
        <f>(E66+I62)/2</f>
        <v/>
      </c>
      <c r="L64" s="17">
        <f>A64+E64</f>
        <v/>
      </c>
      <c r="M64" s="18">
        <f>A64-I64</f>
        <v/>
      </c>
      <c r="N64" s="77">
        <f>(C64+D64+E64)/3</f>
        <v/>
      </c>
      <c r="O64" s="77">
        <f>(C64+D64)/2</f>
        <v/>
      </c>
      <c r="P64" s="77">
        <f>(N64-O64)+N64</f>
        <v/>
      </c>
      <c r="Q64" s="77">
        <f>2*N64-D64</f>
        <v/>
      </c>
      <c r="R64" s="77">
        <f>N64+(C64-D64)</f>
        <v/>
      </c>
      <c r="S64" s="77">
        <f>(2*N64)-C64</f>
        <v/>
      </c>
      <c r="T64" s="77">
        <f>N64-(C64-D64)</f>
        <v/>
      </c>
      <c r="U64" s="70">
        <f>(G64+H64+I64)/3</f>
        <v/>
      </c>
      <c r="V64" s="70">
        <f>(G64+H64)/2</f>
        <v/>
      </c>
      <c r="W64" s="70">
        <f>(U64-V64)+U64</f>
        <v/>
      </c>
      <c r="X64" s="70">
        <f>2*U64-H64</f>
        <v/>
      </c>
      <c r="Y64" s="70">
        <f>U64+(G64-H64)</f>
        <v/>
      </c>
      <c r="Z64" s="70">
        <f>(2*U64)-G64</f>
        <v/>
      </c>
      <c r="AA64" s="70">
        <f>U64-(G64-H64)</f>
        <v/>
      </c>
    </row>
    <row r="65">
      <c r="A65" s="11" t="n">
        <v>24150</v>
      </c>
      <c r="B65" s="14" t="n">
        <v>79.45</v>
      </c>
      <c r="C65" s="14" t="n">
        <v>88.2</v>
      </c>
      <c r="D65" s="14" t="n">
        <v>55.4</v>
      </c>
      <c r="E65" s="15" t="n">
        <v>58.15</v>
      </c>
      <c r="F65" s="12" t="n">
        <v>1369.65</v>
      </c>
      <c r="G65" s="12" t="n">
        <v>1370.75</v>
      </c>
      <c r="H65" s="12" t="n">
        <v>1364.8</v>
      </c>
      <c r="I65" s="13" t="n">
        <v>1368.4</v>
      </c>
      <c r="J65" s="16">
        <f>(E65+I65)/2</f>
        <v/>
      </c>
      <c r="K65" s="16">
        <f>(E67+I63)/2</f>
        <v/>
      </c>
      <c r="L65" s="17">
        <f>A65+E65</f>
        <v/>
      </c>
      <c r="M65" s="18">
        <f>A65-I65</f>
        <v/>
      </c>
      <c r="N65" s="77">
        <f>(C65+D65+E65)/3</f>
        <v/>
      </c>
      <c r="O65" s="77">
        <f>(C65+D65)/2</f>
        <v/>
      </c>
      <c r="P65" s="77">
        <f>(N65-O65)+N65</f>
        <v/>
      </c>
      <c r="Q65" s="77">
        <f>2*N65-D65</f>
        <v/>
      </c>
      <c r="R65" s="77">
        <f>N65+(C65-D65)</f>
        <v/>
      </c>
      <c r="S65" s="77">
        <f>(2*N65)-C65</f>
        <v/>
      </c>
      <c r="T65" s="77">
        <f>N65-(C65-D65)</f>
        <v/>
      </c>
      <c r="U65" s="70">
        <f>(G65+H65+I65)/3</f>
        <v/>
      </c>
      <c r="V65" s="70">
        <f>(G65+H65)/2</f>
        <v/>
      </c>
      <c r="W65" s="70">
        <f>(U65-V65)+U65</f>
        <v/>
      </c>
      <c r="X65" s="70">
        <f>2*U65-H65</f>
        <v/>
      </c>
      <c r="Y65" s="70">
        <f>U65+(G65-H65)</f>
        <v/>
      </c>
      <c r="Z65" s="70">
        <f>(2*U65)-G65</f>
        <v/>
      </c>
      <c r="AA65" s="70">
        <f>U65-(G65-H65)</f>
        <v/>
      </c>
    </row>
    <row r="66">
      <c r="A66" s="19" t="n">
        <v>24200</v>
      </c>
      <c r="B66" s="14" t="n">
        <v>80</v>
      </c>
      <c r="C66" s="14" t="n">
        <v>80</v>
      </c>
      <c r="D66" s="14" t="n">
        <v>49.75</v>
      </c>
      <c r="E66" s="15" t="n">
        <v>52.6</v>
      </c>
      <c r="F66" s="12" t="n">
        <v>1123</v>
      </c>
      <c r="G66" s="12" t="n">
        <v>1423.4</v>
      </c>
      <c r="H66" s="12" t="n">
        <v>1123</v>
      </c>
      <c r="I66" s="13" t="n">
        <v>1412.05</v>
      </c>
      <c r="J66" s="16">
        <f>(E66+I66)/2</f>
        <v/>
      </c>
      <c r="K66" s="16">
        <f>(E68+I64)/2</f>
        <v/>
      </c>
      <c r="L66" s="17">
        <f>A66+E66</f>
        <v/>
      </c>
      <c r="M66" s="18">
        <f>A66-I66</f>
        <v/>
      </c>
      <c r="N66" s="77">
        <f>(C66+D66+E66)/3</f>
        <v/>
      </c>
      <c r="O66" s="77">
        <f>(C66+D66)/2</f>
        <v/>
      </c>
      <c r="P66" s="77">
        <f>(N66-O66)+N66</f>
        <v/>
      </c>
      <c r="Q66" s="77">
        <f>2*N66-D66</f>
        <v/>
      </c>
      <c r="R66" s="77">
        <f>N66+(C66-D66)</f>
        <v/>
      </c>
      <c r="S66" s="77">
        <f>(2*N66)-C66</f>
        <v/>
      </c>
      <c r="T66" s="77">
        <f>N66-(C66-D66)</f>
        <v/>
      </c>
      <c r="U66" s="70">
        <f>(G66+H66+I66)/3</f>
        <v/>
      </c>
      <c r="V66" s="70">
        <f>(G66+H66)/2</f>
        <v/>
      </c>
      <c r="W66" s="70">
        <f>(U66-V66)+U66</f>
        <v/>
      </c>
      <c r="X66" s="70">
        <f>2*U66-H66</f>
        <v/>
      </c>
      <c r="Y66" s="70">
        <f>U66+(G66-H66)</f>
        <v/>
      </c>
      <c r="Z66" s="70">
        <f>(2*U66)-G66</f>
        <v/>
      </c>
      <c r="AA66" s="70">
        <f>U66-(G66-H66)</f>
        <v/>
      </c>
    </row>
    <row r="67">
      <c r="A67" s="11" t="n">
        <v>24250</v>
      </c>
      <c r="B67" s="14" t="n">
        <v>84.7</v>
      </c>
      <c r="C67" s="14" t="n">
        <v>84.7</v>
      </c>
      <c r="D67" s="14" t="n">
        <v>44.35</v>
      </c>
      <c r="E67" s="15" t="n">
        <v>47.95</v>
      </c>
      <c r="F67" s="12" t="n">
        <v>1411.9</v>
      </c>
      <c r="G67" s="12" t="n">
        <v>1411.9</v>
      </c>
      <c r="H67" s="12" t="n">
        <v>1411.9</v>
      </c>
      <c r="I67" s="13" t="n">
        <v>1411.9</v>
      </c>
      <c r="J67" s="16">
        <f>(E67+I67)/2</f>
        <v/>
      </c>
      <c r="K67" s="16">
        <f>(E69+I65)/2</f>
        <v/>
      </c>
      <c r="L67" s="17">
        <f>A67+E67</f>
        <v/>
      </c>
      <c r="M67" s="18">
        <f>A67-I67</f>
        <v/>
      </c>
      <c r="N67" s="77">
        <f>(C67+D67+E67)/3</f>
        <v/>
      </c>
      <c r="O67" s="77">
        <f>(C67+D67)/2</f>
        <v/>
      </c>
      <c r="P67" s="77">
        <f>(N67-O67)+N67</f>
        <v/>
      </c>
      <c r="Q67" s="77">
        <f>2*N67-D67</f>
        <v/>
      </c>
      <c r="R67" s="77">
        <f>N67+(C67-D67)</f>
        <v/>
      </c>
      <c r="S67" s="77">
        <f>(2*N67)-C67</f>
        <v/>
      </c>
      <c r="T67" s="77">
        <f>N67-(C67-D67)</f>
        <v/>
      </c>
      <c r="U67" s="70">
        <f>(G67+H67+I67)/3</f>
        <v/>
      </c>
      <c r="V67" s="70">
        <f>(G67+H67)/2</f>
        <v/>
      </c>
      <c r="W67" s="70">
        <f>(U67-V67)+U67</f>
        <v/>
      </c>
      <c r="X67" s="70">
        <f>2*U67-H67</f>
        <v/>
      </c>
      <c r="Y67" s="70">
        <f>U67+(G67-H67)</f>
        <v/>
      </c>
      <c r="Z67" s="70">
        <f>(2*U67)-G67</f>
        <v/>
      </c>
      <c r="AA67" s="70">
        <f>U67-(G67-H67)</f>
        <v/>
      </c>
    </row>
    <row r="68">
      <c r="A68" s="19" t="n">
        <v>24300</v>
      </c>
      <c r="B68" s="14" t="n">
        <v>68</v>
      </c>
      <c r="C68" s="14" t="n">
        <v>68</v>
      </c>
      <c r="D68" s="14" t="n">
        <v>40.15</v>
      </c>
      <c r="E68" s="15" t="n">
        <v>42.8</v>
      </c>
      <c r="F68" s="12" t="n">
        <v>1272.2</v>
      </c>
      <c r="G68" s="12" t="n">
        <v>1508</v>
      </c>
      <c r="H68" s="12" t="n">
        <v>1230.9</v>
      </c>
      <c r="I68" s="13" t="n">
        <v>1503.5</v>
      </c>
      <c r="J68" s="16">
        <f>(E68+I68)/2</f>
        <v/>
      </c>
      <c r="K68" s="16">
        <f>(E70+I66)/2</f>
        <v/>
      </c>
      <c r="L68" s="17">
        <f>A68+E68</f>
        <v/>
      </c>
      <c r="M68" s="18">
        <f>A68-I68</f>
        <v/>
      </c>
      <c r="N68" s="77">
        <f>(C68+D68+E68)/3</f>
        <v/>
      </c>
      <c r="O68" s="77">
        <f>(C68+D68)/2</f>
        <v/>
      </c>
      <c r="P68" s="77">
        <f>(N68-O68)+N68</f>
        <v/>
      </c>
      <c r="Q68" s="77">
        <f>2*N68-D68</f>
        <v/>
      </c>
      <c r="R68" s="77">
        <f>N68+(C68-D68)</f>
        <v/>
      </c>
      <c r="S68" s="77">
        <f>(2*N68)-C68</f>
        <v/>
      </c>
      <c r="T68" s="77">
        <f>N68-(C68-D68)</f>
        <v/>
      </c>
      <c r="U68" s="70">
        <f>(G68+H68+I68)/3</f>
        <v/>
      </c>
      <c r="V68" s="70">
        <f>(G68+H68)/2</f>
        <v/>
      </c>
      <c r="W68" s="70">
        <f>(U68-V68)+U68</f>
        <v/>
      </c>
      <c r="X68" s="70">
        <f>2*U68-H68</f>
        <v/>
      </c>
      <c r="Y68" s="70">
        <f>U68+(G68-H68)</f>
        <v/>
      </c>
      <c r="Z68" s="70">
        <f>(2*U68)-G68</f>
        <v/>
      </c>
      <c r="AA68" s="70">
        <f>U68-(G68-H68)</f>
        <v/>
      </c>
    </row>
    <row r="69">
      <c r="A69" s="11" t="n">
        <v>24350</v>
      </c>
      <c r="B69" s="14" t="n">
        <v>55</v>
      </c>
      <c r="C69" s="14" t="n">
        <v>58</v>
      </c>
      <c r="D69" s="14" t="n">
        <v>36.9</v>
      </c>
      <c r="E69" s="15" t="n">
        <v>38.85</v>
      </c>
      <c r="F69" s="12" t="n">
        <v>1287.05</v>
      </c>
      <c r="G69" s="12" t="n">
        <v>1303.55</v>
      </c>
      <c r="H69" s="12" t="n">
        <v>1271.85</v>
      </c>
      <c r="I69" s="13" t="n">
        <v>1290.5</v>
      </c>
      <c r="J69" s="16">
        <f>(E69+I69)/2</f>
        <v/>
      </c>
      <c r="K69" s="16" t="n"/>
      <c r="L69" s="17">
        <f>A69+E69</f>
        <v/>
      </c>
      <c r="M69" s="18">
        <f>A69-I69</f>
        <v/>
      </c>
      <c r="N69" s="77">
        <f>(C69+D69+E69)/3</f>
        <v/>
      </c>
      <c r="O69" s="77">
        <f>(C69+D69)/2</f>
        <v/>
      </c>
      <c r="P69" s="77">
        <f>(N69-O69)+N69</f>
        <v/>
      </c>
      <c r="Q69" s="77">
        <f>2*N69-D69</f>
        <v/>
      </c>
      <c r="R69" s="77">
        <f>N69+(C69-D69)</f>
        <v/>
      </c>
      <c r="S69" s="77">
        <f>(2*N69)-C69</f>
        <v/>
      </c>
      <c r="T69" s="77">
        <f>N69-(C69-D69)</f>
        <v/>
      </c>
      <c r="U69" s="70">
        <f>(G69+H69+I69)/3</f>
        <v/>
      </c>
      <c r="V69" s="70">
        <f>(G69+H69)/2</f>
        <v/>
      </c>
      <c r="W69" s="70">
        <f>(U69-V69)+U69</f>
        <v/>
      </c>
      <c r="X69" s="70">
        <f>2*U69-H69</f>
        <v/>
      </c>
      <c r="Y69" s="70">
        <f>U69+(G69-H69)</f>
        <v/>
      </c>
      <c r="Z69" s="70">
        <f>(2*U69)-G69</f>
        <v/>
      </c>
      <c r="AA69" s="70">
        <f>U69-(G69-H69)</f>
        <v/>
      </c>
    </row>
    <row r="70">
      <c r="A70" s="19" t="n">
        <v>24400</v>
      </c>
      <c r="B70" s="14" t="n">
        <v>48.25</v>
      </c>
      <c r="C70" s="14" t="n">
        <v>51.8</v>
      </c>
      <c r="D70" s="14" t="n">
        <v>33.45</v>
      </c>
      <c r="E70" s="15" t="n">
        <v>35.3</v>
      </c>
      <c r="F70" s="12" t="n">
        <v>1343.2</v>
      </c>
      <c r="G70" s="12" t="n">
        <v>1599.55</v>
      </c>
      <c r="H70" s="12" t="n">
        <v>1317.65</v>
      </c>
      <c r="I70" s="13" t="n">
        <v>1590.35</v>
      </c>
      <c r="J70" s="16">
        <f>(E70+I70)/2</f>
        <v/>
      </c>
      <c r="K70" s="16" t="n"/>
      <c r="L70" s="17">
        <f>A70+E70</f>
        <v/>
      </c>
      <c r="M70" s="18">
        <f>A70-I70</f>
        <v/>
      </c>
      <c r="N70" s="77">
        <f>(C70+D70+E70)/3</f>
        <v/>
      </c>
      <c r="O70" s="77">
        <f>(C70+D70)/2</f>
        <v/>
      </c>
      <c r="P70" s="77">
        <f>(N70-O70)+N70</f>
        <v/>
      </c>
      <c r="Q70" s="77">
        <f>2*N70-D70</f>
        <v/>
      </c>
      <c r="R70" s="77">
        <f>N70+(C70-D70)</f>
        <v/>
      </c>
      <c r="S70" s="77">
        <f>(2*N70)-C70</f>
        <v/>
      </c>
      <c r="T70" s="77">
        <f>N70-(C70-D70)</f>
        <v/>
      </c>
      <c r="U70" s="70">
        <f>(G70+H70+I70)/3</f>
        <v/>
      </c>
      <c r="V70" s="70">
        <f>(G70+H70)/2</f>
        <v/>
      </c>
      <c r="W70" s="70">
        <f>(U70-V70)+U70</f>
        <v/>
      </c>
      <c r="X70" s="70">
        <f>2*U70-H70</f>
        <v/>
      </c>
      <c r="Y70" s="70">
        <f>U70+(G70-H70)</f>
        <v/>
      </c>
      <c r="Z70" s="70">
        <f>(2*U70)-G70</f>
        <v/>
      </c>
      <c r="AA70" s="70">
        <f>U70-(G70-H70)</f>
        <v/>
      </c>
    </row>
    <row r="71">
      <c r="A71" s="11" t="n">
        <v>24450</v>
      </c>
      <c r="B71" s="14" t="n">
        <v>54</v>
      </c>
      <c r="C71" s="14" t="n">
        <v>54</v>
      </c>
      <c r="D71" s="14" t="n">
        <v>30.65</v>
      </c>
      <c r="E71" s="15" t="n">
        <v>32.3</v>
      </c>
      <c r="F71" s="12" t="n">
        <v>0</v>
      </c>
      <c r="G71" s="12" t="n">
        <v>0</v>
      </c>
      <c r="H71" s="12" t="n">
        <v>0</v>
      </c>
      <c r="I71" s="13" t="n">
        <v>1176</v>
      </c>
      <c r="J71" s="16">
        <f>(E71+I71)/2</f>
        <v/>
      </c>
      <c r="K71" s="16" t="n"/>
      <c r="L71" s="17">
        <f>A71+E71</f>
        <v/>
      </c>
      <c r="M71" s="18">
        <f>A71-I71</f>
        <v/>
      </c>
      <c r="N71" s="77">
        <f>(C71+D71+E71)/3</f>
        <v/>
      </c>
      <c r="O71" s="77">
        <f>(C71+D71)/2</f>
        <v/>
      </c>
      <c r="P71" s="77">
        <f>(N71-O71)+N71</f>
        <v/>
      </c>
      <c r="Q71" s="77">
        <f>2*N71-D71</f>
        <v/>
      </c>
      <c r="R71" s="77">
        <f>N71+(C71-D71)</f>
        <v/>
      </c>
      <c r="S71" s="77">
        <f>(2*N71)-C71</f>
        <v/>
      </c>
      <c r="T71" s="77">
        <f>N71-(C71-D71)</f>
        <v/>
      </c>
      <c r="U71" s="70">
        <f>(G71+H71+I71)/3</f>
        <v/>
      </c>
      <c r="V71" s="70">
        <f>(G71+H71)/2</f>
        <v/>
      </c>
      <c r="W71" s="70">
        <f>(U71-V71)+U71</f>
        <v/>
      </c>
      <c r="X71" s="70">
        <f>2*U71-H71</f>
        <v/>
      </c>
      <c r="Y71" s="70">
        <f>U71+(G71-H71)</f>
        <v/>
      </c>
      <c r="Z71" s="70">
        <f>(2*U71)-G71</f>
        <v/>
      </c>
      <c r="AA71" s="70">
        <f>U71-(G71-H71)</f>
        <v/>
      </c>
    </row>
    <row r="72">
      <c r="A72" s="19" t="n">
        <v>24500</v>
      </c>
      <c r="B72" s="14" t="n">
        <v>48.7</v>
      </c>
      <c r="C72" s="14" t="n">
        <v>48.7</v>
      </c>
      <c r="D72" s="14" t="n">
        <v>27.5</v>
      </c>
      <c r="E72" s="15" t="n">
        <v>29.1</v>
      </c>
      <c r="F72" s="12" t="n">
        <v>1400</v>
      </c>
      <c r="G72" s="12" t="n">
        <v>1718.25</v>
      </c>
      <c r="H72" s="12" t="n">
        <v>1400</v>
      </c>
      <c r="I72" s="13" t="n">
        <v>1685.75</v>
      </c>
      <c r="J72" s="16">
        <f>(E72+I72)/2</f>
        <v/>
      </c>
      <c r="K72" s="16" t="n"/>
      <c r="L72" s="17">
        <f>A72+E72</f>
        <v/>
      </c>
      <c r="M72" s="18">
        <f>A72-I72</f>
        <v/>
      </c>
      <c r="N72" s="77">
        <f>(C72+D72+E72)/3</f>
        <v/>
      </c>
      <c r="O72" s="77">
        <f>(C72+D72)/2</f>
        <v/>
      </c>
      <c r="P72" s="77">
        <f>(N72-O72)+N72</f>
        <v/>
      </c>
      <c r="Q72" s="77">
        <f>2*N72-D72</f>
        <v/>
      </c>
      <c r="R72" s="77">
        <f>N72+(C72-D72)</f>
        <v/>
      </c>
      <c r="S72" s="77">
        <f>(2*N72)-C72</f>
        <v/>
      </c>
      <c r="T72" s="77">
        <f>N72-(C72-D72)</f>
        <v/>
      </c>
      <c r="U72" s="70">
        <f>(G72+H72+I72)/3</f>
        <v/>
      </c>
      <c r="V72" s="70">
        <f>(G72+H72)/2</f>
        <v/>
      </c>
      <c r="W72" s="70">
        <f>(U72-V72)+U72</f>
        <v/>
      </c>
      <c r="X72" s="70">
        <f>2*U72-H72</f>
        <v/>
      </c>
      <c r="Y72" s="70">
        <f>U72+(G72-H72)</f>
        <v/>
      </c>
      <c r="Z72" s="70">
        <f>(2*U72)-G72</f>
        <v/>
      </c>
      <c r="AA72" s="70">
        <f>U72-(G72-H72)</f>
        <v/>
      </c>
    </row>
    <row r="73">
      <c r="A73" s="11" t="n">
        <v>24550</v>
      </c>
      <c r="B73" s="14" t="n">
        <v>54.6</v>
      </c>
      <c r="C73" s="14" t="n">
        <v>54.6</v>
      </c>
      <c r="D73" s="14" t="n">
        <v>25.05</v>
      </c>
      <c r="E73" s="15" t="n">
        <v>26.3</v>
      </c>
      <c r="F73" s="12" t="n">
        <v>1480</v>
      </c>
      <c r="G73" s="12" t="n">
        <v>1767.85</v>
      </c>
      <c r="H73" s="12" t="n">
        <v>1480</v>
      </c>
      <c r="I73" s="13" t="n">
        <v>1767.85</v>
      </c>
      <c r="J73" s="16">
        <f>(E73+I73)/2</f>
        <v/>
      </c>
      <c r="K73" s="16" t="n"/>
      <c r="L73" s="17">
        <f>A73+E73</f>
        <v/>
      </c>
      <c r="M73" s="18">
        <f>A73-I73</f>
        <v/>
      </c>
      <c r="N73" s="77">
        <f>(C73+D73+E73)/3</f>
        <v/>
      </c>
      <c r="O73" s="77">
        <f>(C73+D73)/2</f>
        <v/>
      </c>
      <c r="P73" s="77">
        <f>(N73-O73)+N73</f>
        <v/>
      </c>
      <c r="Q73" s="77">
        <f>2*N73-D73</f>
        <v/>
      </c>
      <c r="R73" s="77">
        <f>N73+(C73-D73)</f>
        <v/>
      </c>
      <c r="S73" s="77">
        <f>(2*N73)-C73</f>
        <v/>
      </c>
      <c r="T73" s="77">
        <f>N73-(C73-D73)</f>
        <v/>
      </c>
      <c r="U73" s="70">
        <f>(G73+H73+I73)/3</f>
        <v/>
      </c>
      <c r="V73" s="70">
        <f>(G73+H73)/2</f>
        <v/>
      </c>
      <c r="W73" s="70">
        <f>(U73-V73)+U73</f>
        <v/>
      </c>
      <c r="X73" s="70">
        <f>2*U73-H73</f>
        <v/>
      </c>
      <c r="Y73" s="70">
        <f>U73+(G73-H73)</f>
        <v/>
      </c>
      <c r="Z73" s="70">
        <f>(2*U73)-G73</f>
        <v/>
      </c>
      <c r="AA73" s="70">
        <f>U73-(G73-H73)</f>
        <v/>
      </c>
    </row>
    <row r="74">
      <c r="A74" s="11" t="n"/>
      <c r="B74" s="14" t="n"/>
      <c r="C74" s="14" t="n"/>
      <c r="D74" s="14" t="n"/>
      <c r="E74" s="15" t="n"/>
      <c r="F74" s="12" t="n"/>
      <c r="G74" s="12" t="n"/>
      <c r="H74" s="12" t="n"/>
      <c r="I74" s="13" t="n"/>
      <c r="J74" s="16" t="n"/>
      <c r="K74" s="16" t="n"/>
      <c r="L74" s="17" t="n"/>
      <c r="M74" s="18" t="n"/>
      <c r="N74" s="77" t="n"/>
      <c r="O74" s="77" t="n"/>
      <c r="P74" s="77" t="n"/>
      <c r="Q74" s="77" t="n"/>
      <c r="R74" s="77" t="n"/>
      <c r="S74" s="77" t="n"/>
      <c r="T74" s="77" t="n"/>
      <c r="U74" s="70" t="n"/>
      <c r="V74" s="70" t="n"/>
      <c r="W74" s="70" t="n"/>
      <c r="X74" s="70" t="n"/>
      <c r="Y74" s="70" t="n"/>
      <c r="Z74" s="70" t="n"/>
      <c r="AA74" s="70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7.4" customHeight="1">
      <c r="A78" s="20" t="n"/>
      <c r="B78" s="81" t="inlineStr">
        <is>
          <t>High</t>
        </is>
      </c>
      <c r="C78" s="81" t="inlineStr">
        <is>
          <t>Low</t>
        </is>
      </c>
      <c r="D78" s="81" t="inlineStr">
        <is>
          <t>Close</t>
        </is>
      </c>
      <c r="E78" s="21" t="n"/>
      <c r="F78" s="81" t="inlineStr">
        <is>
          <t>Open</t>
        </is>
      </c>
      <c r="G78" s="5" t="n"/>
      <c r="H78" s="82" t="inlineStr">
        <is>
          <t>ACTIVE CONTRACTS</t>
        </is>
      </c>
      <c r="I78" s="71" t="n"/>
      <c r="J78" s="71" t="n"/>
      <c r="K78" s="71" t="n"/>
      <c r="L78" s="72" t="n"/>
      <c r="AB78" s="22" t="n"/>
    </row>
    <row r="79" ht="18" customHeight="1">
      <c r="A79" s="50" t="inlineStr">
        <is>
          <t>NIFTY 50 INDEX</t>
        </is>
      </c>
      <c r="B79" s="24" t="n">
        <v>23186.1</v>
      </c>
      <c r="C79" s="25" t="n">
        <v>22804.55</v>
      </c>
      <c r="D79" s="25" t="n">
        <v>22819.6</v>
      </c>
      <c r="E79" s="5" t="n"/>
      <c r="F79" s="25" t="n">
        <v>23173.55</v>
      </c>
      <c r="G79" s="5" t="n"/>
      <c r="H79" s="26" t="inlineStr">
        <is>
          <t>option</t>
        </is>
      </c>
      <c r="I79" s="26" t="inlineStr">
        <is>
          <t>strike</t>
        </is>
      </c>
      <c r="J79" s="26" t="inlineStr">
        <is>
          <t>strike /low</t>
        </is>
      </c>
      <c r="K79" s="26" t="inlineStr">
        <is>
          <t>strike/close</t>
        </is>
      </c>
      <c r="L79" s="65" t="n"/>
      <c r="AB79" s="22" t="n"/>
    </row>
    <row r="80" ht="18" customHeight="1">
      <c r="A80" s="23" t="inlineStr">
        <is>
          <t>CPR</t>
        </is>
      </c>
      <c r="B80" s="29">
        <f>(B79+C79+D79)/3</f>
        <v/>
      </c>
      <c r="C80" s="29">
        <f>(B79+C79)/2</f>
        <v/>
      </c>
      <c r="D80" s="29">
        <f>(B80-C80)+B80</f>
        <v/>
      </c>
      <c r="E80" s="5" t="n"/>
      <c r="F80" s="5" t="n"/>
      <c r="G80" s="5" t="n"/>
      <c r="H80" s="26" t="inlineStr">
        <is>
          <t>PE</t>
        </is>
      </c>
      <c r="I80" s="27" t="n">
        <v>23000</v>
      </c>
      <c r="J80" s="83" t="n">
        <v>22656.85</v>
      </c>
      <c r="K80" s="83" t="n">
        <v>22443.15</v>
      </c>
      <c r="L80" s="83" t="inlineStr">
        <is>
          <t>ITM</t>
        </is>
      </c>
      <c r="O80" s="73" t="inlineStr">
        <is>
          <t>MONTHLY 30/03/2026</t>
        </is>
      </c>
      <c r="P80" s="72" t="n"/>
      <c r="AB80" s="22" t="n"/>
    </row>
    <row r="81" ht="18" customHeight="1">
      <c r="A81" s="23" t="inlineStr">
        <is>
          <t>R1</t>
        </is>
      </c>
      <c r="B81" s="33">
        <f>2*B80-C79</f>
        <v/>
      </c>
      <c r="C81" s="23" t="inlineStr">
        <is>
          <t>S1</t>
        </is>
      </c>
      <c r="D81" s="23">
        <f>2*B80-B79</f>
        <v/>
      </c>
      <c r="E81" s="5" t="n"/>
      <c r="F81" s="5" t="n"/>
      <c r="G81" s="5" t="n"/>
      <c r="H81" s="26" t="inlineStr">
        <is>
          <t>PE</t>
        </is>
      </c>
      <c r="I81" s="27" t="n">
        <v>22000</v>
      </c>
      <c r="J81" s="84" t="n">
        <v>21882</v>
      </c>
      <c r="K81" s="84" t="n">
        <v>21793.55</v>
      </c>
      <c r="L81" s="84" t="inlineStr">
        <is>
          <t>OTM</t>
        </is>
      </c>
      <c r="O81" s="28" t="inlineStr">
        <is>
          <t>STRIKE</t>
        </is>
      </c>
      <c r="P81" s="28" t="n">
        <v>25450</v>
      </c>
      <c r="AB81" s="22" t="n"/>
    </row>
    <row r="82" ht="18" customHeight="1">
      <c r="A82" s="23" t="inlineStr">
        <is>
          <t>R2</t>
        </is>
      </c>
      <c r="B82" s="33">
        <f>B80+(B79-C79)</f>
        <v/>
      </c>
      <c r="C82" s="23" t="inlineStr">
        <is>
          <t>S2</t>
        </is>
      </c>
      <c r="D82" s="23">
        <f>B80-(B79-C79)</f>
        <v/>
      </c>
      <c r="E82" s="5" t="n"/>
      <c r="F82" s="5" t="n"/>
      <c r="G82" s="5" t="n"/>
      <c r="H82" s="26" t="inlineStr">
        <is>
          <t>PE</t>
        </is>
      </c>
      <c r="I82" s="27" t="n">
        <v>21000</v>
      </c>
      <c r="J82" s="85" t="n">
        <v>20955.45</v>
      </c>
      <c r="K82" s="85" t="n">
        <v>20931.85</v>
      </c>
      <c r="L82" s="85" t="inlineStr">
        <is>
          <t>OTM</t>
        </is>
      </c>
      <c r="O82" s="31" t="inlineStr">
        <is>
          <t xml:space="preserve">CE CLOSE </t>
        </is>
      </c>
      <c r="P82" s="32" t="n">
        <v>190.05</v>
      </c>
      <c r="AB82" s="22" t="n"/>
    </row>
    <row r="83" ht="18" customHeight="1">
      <c r="A83" s="23" t="inlineStr">
        <is>
          <t>R3</t>
        </is>
      </c>
      <c r="B83" s="33">
        <f>B81+(B79-C79)</f>
        <v/>
      </c>
      <c r="C83" s="23" t="inlineStr">
        <is>
          <t>S3</t>
        </is>
      </c>
      <c r="D83" s="23">
        <f>D81-(B79-C79)</f>
        <v/>
      </c>
      <c r="E83" s="5" t="n"/>
      <c r="F83" s="5" t="n"/>
      <c r="G83" s="5" t="n"/>
      <c r="H83" s="26" t="inlineStr">
        <is>
          <t>CE</t>
        </is>
      </c>
      <c r="I83" s="27" t="n">
        <v>23000</v>
      </c>
      <c r="J83" s="84" t="n">
        <v>23380</v>
      </c>
      <c r="K83" s="84" t="n">
        <v>23390.1</v>
      </c>
      <c r="L83" s="84" t="inlineStr">
        <is>
          <t>OTM</t>
        </is>
      </c>
      <c r="O83" s="34" t="inlineStr">
        <is>
          <t xml:space="preserve">PE CLOSE </t>
        </is>
      </c>
      <c r="P83" s="35" t="n">
        <v>170.25</v>
      </c>
      <c r="AB83" s="22" t="n"/>
    </row>
    <row r="84" ht="18" customHeight="1">
      <c r="A84" s="23" t="inlineStr">
        <is>
          <t>R4</t>
        </is>
      </c>
      <c r="B84" s="33">
        <f>B83+(B82-B81)</f>
        <v/>
      </c>
      <c r="C84" s="23" t="inlineStr">
        <is>
          <t>S4</t>
        </is>
      </c>
      <c r="D84" s="38">
        <f>D83-(D81-D82)</f>
        <v/>
      </c>
      <c r="E84" s="39" t="n"/>
      <c r="F84" s="39" t="n"/>
      <c r="G84" s="5" t="n"/>
      <c r="H84" s="26" t="inlineStr">
        <is>
          <t>CE</t>
        </is>
      </c>
      <c r="I84" s="27" t="n">
        <v>24000</v>
      </c>
      <c r="J84" s="84" t="n">
        <v>24075.2</v>
      </c>
      <c r="K84" s="84" t="n">
        <v>24079.2</v>
      </c>
      <c r="L84" s="84" t="inlineStr">
        <is>
          <t>OTM</t>
        </is>
      </c>
      <c r="O84" s="31" t="inlineStr">
        <is>
          <t>RES</t>
        </is>
      </c>
      <c r="P84" s="37" t="n">
        <v>25640.05</v>
      </c>
      <c r="AB84" s="22" t="n"/>
    </row>
    <row r="85" ht="15.6" customHeight="1">
      <c r="A85" s="22" t="n"/>
      <c r="D85" s="39" t="n"/>
      <c r="E85" s="39" t="n"/>
      <c r="F85" s="26" t="n"/>
      <c r="G85" s="26" t="n"/>
      <c r="H85" s="26" t="inlineStr">
        <is>
          <t>PE</t>
        </is>
      </c>
      <c r="I85" s="27" t="n">
        <v>22500</v>
      </c>
      <c r="J85" s="84" t="n">
        <v>22289.95</v>
      </c>
      <c r="K85" s="84" t="n">
        <v>22155.2</v>
      </c>
      <c r="L85" s="84" t="inlineStr">
        <is>
          <t>OTM</t>
        </is>
      </c>
      <c r="N85" s="26" t="n"/>
      <c r="O85" s="31" t="inlineStr">
        <is>
          <t>WRR</t>
        </is>
      </c>
      <c r="P85" s="37" t="n">
        <v>25810.3</v>
      </c>
      <c r="Q85" s="26" t="n"/>
      <c r="R85" s="26" t="n"/>
      <c r="S85" s="26" t="n"/>
      <c r="T85" s="26" t="n"/>
      <c r="U85" s="26" t="n"/>
      <c r="V85" s="26" t="n"/>
      <c r="AB85" s="22" t="n"/>
    </row>
    <row r="86">
      <c r="A86" s="41" t="inlineStr">
        <is>
          <t>OPEN</t>
        </is>
      </c>
      <c r="B86" s="5" t="n"/>
      <c r="C86" s="22">
        <f>IF(B86&lt;C79,"Gap Down Opening",
IF(B86&lt;D79,"Negative Opening",
IF(B86&gt;B79,"Gap Up Opening",
IF(B86&gt;D79,"Positive Opening",""))))</f>
        <v/>
      </c>
      <c r="D86" s="39" t="n"/>
      <c r="E86" s="39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34" t="inlineStr">
        <is>
          <t>SUP</t>
        </is>
      </c>
      <c r="P86" s="40" t="n">
        <v>21000</v>
      </c>
      <c r="Q86" s="26" t="n"/>
      <c r="R86" s="26" t="n"/>
      <c r="S86" s="26" t="n"/>
      <c r="T86" s="26" t="n"/>
      <c r="U86" s="26" t="n"/>
      <c r="V86" s="26" t="n"/>
      <c r="AB86" s="22" t="n"/>
    </row>
    <row r="87">
      <c r="A87" s="42" t="inlineStr">
        <is>
          <t>Srike</t>
        </is>
      </c>
      <c r="B87" s="43" t="inlineStr">
        <is>
          <t xml:space="preserve">High </t>
        </is>
      </c>
      <c r="C87" s="43" t="inlineStr">
        <is>
          <t>Low</t>
        </is>
      </c>
      <c r="D87" s="43" t="inlineStr">
        <is>
          <t>Close</t>
        </is>
      </c>
      <c r="E87" s="43" t="inlineStr">
        <is>
          <t>Open</t>
        </is>
      </c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34" t="inlineStr">
        <is>
          <t>WRS</t>
        </is>
      </c>
      <c r="P87" s="40" t="n">
        <v>25089.7</v>
      </c>
      <c r="Q87" s="26" t="n"/>
      <c r="R87" s="26" t="n"/>
      <c r="S87" s="26" t="n"/>
      <c r="T87" s="26" t="n"/>
      <c r="U87" s="26" t="n"/>
      <c r="V87" s="26" t="n"/>
      <c r="AB87" s="22" t="n"/>
    </row>
    <row r="88" ht="18" customHeight="1">
      <c r="A88" s="44" t="n">
        <v>22600</v>
      </c>
      <c r="B88" s="44">
        <f>B79-A88</f>
        <v/>
      </c>
      <c r="C88" s="44">
        <f>C79-A88</f>
        <v/>
      </c>
      <c r="D88" s="44">
        <f>D79-A88</f>
        <v/>
      </c>
      <c r="E88" s="44">
        <f>B86-A88</f>
        <v/>
      </c>
      <c r="F88" s="26" t="n"/>
      <c r="G88" s="26" t="n"/>
      <c r="H88" s="26" t="n"/>
      <c r="I88" s="26" t="n"/>
      <c r="J88" s="51" t="n"/>
      <c r="K88" s="51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AB88" s="22" t="n"/>
    </row>
    <row r="89" ht="18" customHeight="1" thickBot="1">
      <c r="A89" s="45" t="n">
        <v>23000</v>
      </c>
      <c r="B89" s="45">
        <f>A89-B79</f>
        <v/>
      </c>
      <c r="C89" s="45">
        <f>A89-C79</f>
        <v/>
      </c>
      <c r="D89" s="45">
        <f>A89-D79</f>
        <v/>
      </c>
      <c r="E89" s="45">
        <f>A89-B86</f>
        <v/>
      </c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AB89" s="22" t="n"/>
    </row>
    <row r="90" ht="15.6" customHeight="1" thickBot="1" thickTop="1">
      <c r="A90" s="46" t="inlineStr">
        <is>
          <t>MID Strike  Price</t>
        </is>
      </c>
      <c r="B90" s="5" t="n"/>
      <c r="C90" s="5" t="n"/>
      <c r="D90" s="5" t="n"/>
      <c r="E90" s="5" t="n"/>
      <c r="F90" s="26" t="n"/>
      <c r="G90" s="26" t="inlineStr">
        <is>
          <t>CLOSE</t>
        </is>
      </c>
      <c r="H90" s="68" t="inlineStr">
        <is>
          <t>ATM (22800) Analysis</t>
        </is>
      </c>
      <c r="I90" s="68" t="inlineStr">
        <is>
          <t>CE</t>
        </is>
      </c>
      <c r="J90" s="68" t="inlineStr">
        <is>
          <t>PE</t>
        </is>
      </c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AB90" s="22" t="n"/>
    </row>
    <row r="91" ht="15.6" customHeight="1" thickBot="1" thickTop="1">
      <c r="A91" s="47">
        <f>(A88+A89)/2</f>
        <v/>
      </c>
      <c r="B91" s="5" t="n"/>
      <c r="C91" s="5" t="n"/>
      <c r="D91" s="5" t="n"/>
      <c r="E91" s="5" t="n"/>
      <c r="F91" s="26" t="n"/>
      <c r="G91" s="26" t="n"/>
      <c r="H91" s="68" t="inlineStr">
        <is>
          <t>HIGH</t>
        </is>
      </c>
      <c r="I91" s="69" t="n">
        <v>665.55</v>
      </c>
      <c r="J91" s="69" t="n">
        <v>475</v>
      </c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39" t="n"/>
      <c r="X91" s="39" t="n"/>
      <c r="Y91" s="39" t="n"/>
      <c r="Z91" s="39" t="n"/>
      <c r="AA91" s="39" t="n"/>
      <c r="AB91" s="39" t="n"/>
    </row>
    <row r="92" ht="15.6" customHeight="1" thickBot="1" thickTop="1">
      <c r="A92" s="53" t="n"/>
      <c r="B92" s="58" t="n"/>
      <c r="C92" s="54" t="n"/>
      <c r="D92" s="39" t="n"/>
      <c r="E92" s="22" t="n"/>
      <c r="F92" s="26" t="n"/>
      <c r="G92" s="26" t="n"/>
      <c r="H92" s="68" t="inlineStr">
        <is>
          <t xml:space="preserve">LOW </t>
        </is>
      </c>
      <c r="I92" s="69" t="n">
        <v>482</v>
      </c>
      <c r="J92" s="69" t="n">
        <v>291.35</v>
      </c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39" t="n"/>
      <c r="X92" s="39" t="n"/>
      <c r="Y92" s="39" t="n"/>
      <c r="Z92" s="39" t="n"/>
      <c r="AA92" s="39" t="n"/>
      <c r="AB92" s="39" t="n"/>
    </row>
    <row r="93" ht="15.6" customHeight="1" thickBot="1" thickTop="1">
      <c r="A93" s="54" t="n"/>
      <c r="B93" s="53" t="n"/>
      <c r="C93" s="54" t="n"/>
      <c r="D93" s="39" t="n"/>
      <c r="E93" s="22" t="n"/>
      <c r="F93" s="26" t="n"/>
      <c r="G93" s="26" t="n"/>
      <c r="H93" s="68" t="inlineStr">
        <is>
          <t>CLOSE</t>
        </is>
      </c>
      <c r="I93" s="69" t="n">
        <v>494.4</v>
      </c>
      <c r="J93" s="69" t="n">
        <v>460.95</v>
      </c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39" t="n"/>
      <c r="X93" s="39" t="n"/>
      <c r="Y93" s="39" t="n"/>
      <c r="Z93" s="39" t="n"/>
      <c r="AA93" s="39" t="n"/>
      <c r="AB93" s="39" t="n"/>
    </row>
    <row r="94" ht="15.6" customFormat="1" customHeight="1" s="39" thickBot="1" thickTop="1">
      <c r="A94" s="58" t="n"/>
      <c r="B94" s="55" t="n"/>
      <c r="C94" s="1" t="n"/>
      <c r="F94" s="26" t="n"/>
      <c r="G94" s="26" t="n"/>
      <c r="H94" s="68" t="inlineStr">
        <is>
          <t xml:space="preserve">OPEN </t>
        </is>
      </c>
      <c r="I94" s="69" t="n">
        <v>658.95</v>
      </c>
      <c r="J94" s="69" t="n">
        <v>298.95</v>
      </c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</row>
    <row r="95" ht="15" customFormat="1" customHeight="1" s="39" thickTop="1">
      <c r="A95" s="59" t="n"/>
      <c r="B95" s="58" t="n"/>
      <c r="C95" s="5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</row>
    <row r="96" ht="15" customFormat="1" customHeight="1" s="39" thickBot="1">
      <c r="A96" s="57" t="n"/>
      <c r="B96" s="57" t="n"/>
      <c r="C96" s="57" t="n"/>
      <c r="F96" s="26" t="n"/>
      <c r="G96" s="26" t="n"/>
      <c r="H96" s="26" t="n"/>
      <c r="I96" s="26" t="n"/>
      <c r="J96" s="26" t="n"/>
      <c r="K96" s="26" t="n"/>
      <c r="L96" s="26" t="n"/>
      <c r="M96" s="26" t="inlineStr">
        <is>
          <t>x</t>
        </is>
      </c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</row>
    <row r="97" ht="15.6" customFormat="1" customHeight="1" s="39" thickBot="1" thickTop="1">
      <c r="A97" s="60" t="inlineStr">
        <is>
          <t>STRADDLE</t>
        </is>
      </c>
      <c r="B97" s="60" t="inlineStr">
        <is>
          <t>CE</t>
        </is>
      </c>
      <c r="C97" s="60" t="inlineStr">
        <is>
          <t>PE</t>
        </is>
      </c>
      <c r="D97" s="52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</row>
    <row r="98" ht="15.6" customFormat="1" customHeight="1" s="39" thickBot="1" thickTop="1">
      <c r="A98" s="63" t="n">
        <v>21000</v>
      </c>
      <c r="B98" s="61" t="n">
        <v>22902.2</v>
      </c>
      <c r="C98" s="62" t="n">
        <v>20931.85</v>
      </c>
      <c r="D98" s="52" t="n"/>
      <c r="F98" s="26" t="n"/>
      <c r="G98" s="26" t="inlineStr">
        <is>
          <t>OPEN</t>
        </is>
      </c>
      <c r="H98" s="68" t="inlineStr">
        <is>
          <t xml:space="preserve">ATM  ANALYSIS </t>
        </is>
      </c>
      <c r="I98" s="68" t="inlineStr">
        <is>
          <t>CE</t>
        </is>
      </c>
      <c r="J98" s="68" t="inlineStr">
        <is>
          <t>PE</t>
        </is>
      </c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</row>
    <row r="99" ht="15.6" customFormat="1" customHeight="1" s="39" thickBot="1" thickTop="1">
      <c r="A99" s="64" t="inlineStr"/>
      <c r="B99" s="61" t="n">
        <v>22970.35</v>
      </c>
      <c r="C99" s="62" t="n">
        <v>19029.65</v>
      </c>
      <c r="D99" s="52" t="n"/>
      <c r="F99" s="26" t="n"/>
      <c r="G99" s="26" t="n"/>
      <c r="H99" s="68" t="inlineStr">
        <is>
          <t>HIGH</t>
        </is>
      </c>
      <c r="I99" s="69" t="n"/>
      <c r="J99" s="69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</row>
    <row r="100" ht="15.6" customFormat="1" customHeight="1" s="39" thickBot="1" thickTop="1">
      <c r="A100" s="64" t="inlineStr"/>
      <c r="B100" s="61" t="inlineStr"/>
      <c r="C100" s="62" t="inlineStr"/>
      <c r="F100" s="26" t="n"/>
      <c r="G100" s="26" t="n"/>
      <c r="H100" s="68" t="inlineStr">
        <is>
          <t xml:space="preserve">LOW </t>
        </is>
      </c>
      <c r="I100" s="69" t="n"/>
      <c r="J100" s="69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</row>
    <row r="101" ht="15.6" customFormat="1" customHeight="1" s="39" thickBot="1" thickTop="1">
      <c r="A101" s="64" t="n">
        <v>22000</v>
      </c>
      <c r="B101" s="61" t="n">
        <v>23036.1</v>
      </c>
      <c r="C101" s="62" t="n">
        <v>21793.55</v>
      </c>
      <c r="E101" s="26" t="n"/>
      <c r="F101" s="26" t="n"/>
      <c r="G101" s="26" t="n"/>
      <c r="H101" s="68" t="inlineStr">
        <is>
          <t>CLOSE</t>
        </is>
      </c>
      <c r="I101" s="69" t="n"/>
      <c r="J101" s="69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</row>
    <row r="102" ht="15.6" customFormat="1" customHeight="1" s="76" thickBot="1" thickTop="1">
      <c r="A102" s="64" t="inlineStr"/>
      <c r="B102" s="61" t="n">
        <v>23242.55</v>
      </c>
      <c r="C102" s="62" t="n">
        <v>20757.45</v>
      </c>
      <c r="D102" s="22" t="n"/>
      <c r="E102" s="49" t="n"/>
      <c r="F102" s="26" t="n"/>
      <c r="G102" s="26" t="n"/>
      <c r="H102" s="68" t="inlineStr">
        <is>
          <t xml:space="preserve">OPEN </t>
        </is>
      </c>
      <c r="I102" s="69" t="n"/>
      <c r="J102" s="69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2" t="n"/>
      <c r="X102" s="22" t="n"/>
      <c r="Y102" s="22" t="n"/>
      <c r="Z102" s="22" t="n"/>
      <c r="AA102" s="22" t="n"/>
    </row>
    <row r="103" ht="15.6" customFormat="1" customHeight="1" s="76" thickBot="1" thickTop="1">
      <c r="A103" s="64" t="inlineStr"/>
      <c r="B103" s="61" t="inlineStr"/>
      <c r="C103" s="62" t="inlineStr"/>
      <c r="D103" s="22" t="n"/>
      <c r="E103" s="49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2" t="n"/>
      <c r="X103" s="22" t="n"/>
      <c r="Y103" s="22" t="n"/>
      <c r="Z103" s="22" t="n"/>
      <c r="AA103" s="22" t="n"/>
    </row>
    <row r="104" ht="15.6" customHeight="1" thickBot="1" thickTop="1">
      <c r="A104" s="64" t="n">
        <v>22500</v>
      </c>
      <c r="B104" s="61" t="n">
        <v>23179.4</v>
      </c>
      <c r="C104" s="62" t="n">
        <v>22155.2</v>
      </c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</row>
    <row r="105" ht="15.6" customHeight="1" thickBot="1" thickTop="1">
      <c r="A105" s="64" t="inlineStr"/>
      <c r="B105" s="61" t="n">
        <v>23524.2</v>
      </c>
      <c r="C105" s="62" t="n">
        <v>21475.8</v>
      </c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</row>
    <row r="106" ht="15.6" customHeight="1" thickBot="1" thickTop="1">
      <c r="A106" s="64" t="inlineStr"/>
      <c r="B106" s="61" t="inlineStr"/>
      <c r="C106" s="62" t="inlineStr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</row>
    <row r="107" ht="15.6" customHeight="1" thickBot="1" thickTop="1">
      <c r="A107" s="64" t="n">
        <v>23000</v>
      </c>
      <c r="B107" s="61" t="n">
        <v>23390.1</v>
      </c>
      <c r="C107" s="62" t="n">
        <v>22443.15</v>
      </c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</row>
    <row r="108" ht="15.6" customHeight="1" thickBot="1" thickTop="1">
      <c r="A108" s="64" t="inlineStr"/>
      <c r="B108" s="61" t="n">
        <v>23946.95</v>
      </c>
      <c r="C108" s="62" t="n">
        <v>22053.05</v>
      </c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</row>
    <row r="109" ht="15.6" customHeight="1" thickBot="1" thickTop="1">
      <c r="A109" s="64" t="inlineStr"/>
      <c r="B109" s="61" t="inlineStr"/>
      <c r="C109" s="62" t="inlineStr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</row>
    <row r="110" ht="15.6" customHeight="1" thickBot="1" thickTop="1">
      <c r="A110" s="64" t="n">
        <v>24000</v>
      </c>
      <c r="B110" s="61" t="n">
        <v>24079.2</v>
      </c>
      <c r="C110" s="62" t="n">
        <v>22760.9</v>
      </c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</row>
    <row r="111" ht="15.6" customHeight="1" thickBot="1" thickTop="1">
      <c r="A111" s="64" t="inlineStr"/>
      <c r="B111" s="61" t="n">
        <v>25318.3</v>
      </c>
      <c r="C111" s="62" t="n">
        <v>22681.7</v>
      </c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</row>
    <row r="112" ht="15" customHeight="1" thickTop="1">
      <c r="A112" t="inlineStr"/>
      <c r="B112" t="inlineStr"/>
      <c r="C112" t="inlineStr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</row>
    <row r="113">
      <c r="A113" t="inlineStr"/>
      <c r="B113" t="inlineStr"/>
      <c r="C113" t="inlineStr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</row>
    <row r="114">
      <c r="A114" t="inlineStr"/>
      <c r="B114" t="inlineStr"/>
      <c r="C114" t="inlineStr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</row>
    <row r="115">
      <c r="A115" t="inlineStr"/>
      <c r="B115" t="inlineStr"/>
      <c r="C115" t="inlineStr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</row>
    <row r="116">
      <c r="A116" t="inlineStr"/>
      <c r="B116" t="inlineStr"/>
      <c r="C116" t="inlineStr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</row>
    <row r="117">
      <c r="A117" t="inlineStr"/>
      <c r="B117" t="inlineStr"/>
      <c r="C117" t="inlineStr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</row>
    <row r="118">
      <c r="A118" t="inlineStr"/>
      <c r="B118" t="inlineStr"/>
      <c r="C118" t="inlineStr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</row>
    <row r="119"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</row>
    <row r="120"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</row>
    <row r="121"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</row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</sheetData>
  <mergeCells count="7">
    <mergeCell ref="B1:E1"/>
    <mergeCell ref="F1:I1"/>
    <mergeCell ref="H78:L78"/>
    <mergeCell ref="N1:T1"/>
    <mergeCell ref="O80:P80"/>
    <mergeCell ref="J1:M1"/>
    <mergeCell ref="U1:AA1"/>
  </mergeCells>
  <conditionalFormatting sqref="B86">
    <cfRule type="cellIs" priority="27" operator="lessThan" dxfId="1">
      <formula>$D$58</formula>
    </cfRule>
    <cfRule type="cellIs" priority="28" operator="greaterThan" dxfId="3">
      <formula>$D$58</formula>
    </cfRule>
  </conditionalFormatting>
  <conditionalFormatting sqref="C86">
    <cfRule type="containsText" priority="25" operator="containsText" dxfId="39" text="Gap Down Opening">
      <formula>NOT(ISERROR(SEARCH("Gap Down Opening",C86)))</formula>
    </cfRule>
    <cfRule type="containsText" priority="26" operator="containsText" dxfId="1" text="down, negative">
      <formula>NOT(ISERROR(SEARCH("down, negative",C86)))</formula>
    </cfRule>
    <cfRule type="containsText" priority="22" operator="containsText" dxfId="3" text="Positive">
      <formula>NOT(ISERROR(SEARCH("Positive",C86)))</formula>
    </cfRule>
    <cfRule type="containsText" priority="23" operator="containsText" dxfId="1" text="Negative ">
      <formula>NOT(ISERROR(SEARCH("Negative ",C86)))</formula>
    </cfRule>
    <cfRule type="containsText" priority="24" operator="containsText" dxfId="35" text="Gap Up ">
      <formula>NOT(ISERROR(SEARCH("Gap Up ",C86)))</formula>
    </cfRule>
  </conditionalFormatting>
  <conditionalFormatting sqref="F85:H85 F86:V89 F90:G94 F95:V97 F98:G102 F103:V121 K90:V94 K98:V102">
    <cfRule type="containsText" priority="60" operator="containsText" dxfId="1" text="CE">
      <formula>NOT(ISERROR(SEARCH("CE",F85)))</formula>
    </cfRule>
    <cfRule type="containsText" priority="59" operator="containsText" dxfId="3" text="PE">
      <formula>NOT(ISERROR(SEARCH("PE",F85)))</formula>
    </cfRule>
  </conditionalFormatting>
  <conditionalFormatting sqref="H80:H84">
    <cfRule type="containsText" priority="70" operator="containsText" dxfId="1" text="CE">
      <formula>NOT(ISERROR(SEARCH("CE",H80)))</formula>
    </cfRule>
    <cfRule type="containsText" priority="69" operator="containsText" dxfId="3" text="PE">
      <formula>NOT(ISERROR(SEARCH("PE",H80)))</formula>
    </cfRule>
  </conditionalFormatting>
  <conditionalFormatting sqref="H79:K79">
    <cfRule type="containsText" priority="50" operator="containsText" dxfId="1" text="CE">
      <formula>NOT(ISERROR(SEARCH("CE",H79)))</formula>
    </cfRule>
    <cfRule type="containsText" priority="49" operator="containsText" dxfId="3" text="PE">
      <formula>NOT(ISERROR(SEARCH("PE",H79)))</formula>
    </cfRule>
  </conditionalFormatting>
  <conditionalFormatting sqref="I80:I85">
    <cfRule type="cellIs" priority="45" operator="greaterThan" dxfId="1">
      <formula>$D$58</formula>
    </cfRule>
    <cfRule type="cellIs" priority="46" operator="equal" dxfId="27">
      <formula>$A$70</formula>
    </cfRule>
    <cfRule type="cellIs" priority="47" operator="greaterThan" dxfId="1">
      <formula>24500</formula>
    </cfRule>
    <cfRule type="cellIs" priority="48" operator="lessThan" dxfId="3">
      <formula>24500</formula>
    </cfRule>
    <cfRule type="duplicateValues" priority="43" dxfId="0"/>
    <cfRule type="cellIs" priority="44" operator="lessThan" dxfId="3">
      <formula>$D$58</formula>
    </cfRule>
  </conditionalFormatting>
  <conditionalFormatting sqref="I91">
    <cfRule type="cellIs" priority="14" operator="greaterThan" dxfId="3">
      <formula>$J$91</formula>
    </cfRule>
  </conditionalFormatting>
  <conditionalFormatting sqref="I92">
    <cfRule type="cellIs" priority="12" operator="lessThan" dxfId="1">
      <formula>$J$92</formula>
    </cfRule>
  </conditionalFormatting>
  <conditionalFormatting sqref="I93">
    <cfRule type="cellIs" priority="9" operator="greaterThan" dxfId="0">
      <formula>$J$93</formula>
    </cfRule>
  </conditionalFormatting>
  <conditionalFormatting sqref="J91">
    <cfRule type="cellIs" priority="10" operator="greaterThan" dxfId="3">
      <formula>$I$91</formula>
    </cfRule>
    <cfRule type="cellIs" priority="13" operator="greaterThan" dxfId="1">
      <formula>$I$91</formula>
    </cfRule>
  </conditionalFormatting>
  <conditionalFormatting sqref="J92">
    <cfRule type="cellIs" priority="11" operator="lessThan" dxfId="1">
      <formula>$I$92</formula>
    </cfRule>
  </conditionalFormatting>
  <conditionalFormatting sqref="J93">
    <cfRule type="cellIs" priority="8" operator="greaterThan" dxfId="0">
      <formula>$I$93</formula>
    </cfRule>
  </conditionalFormatting>
  <conditionalFormatting sqref="J80:K85">
    <cfRule type="cellIs" priority="51" operator="lessThan" dxfId="3">
      <formula>$D$79</formula>
    </cfRule>
    <cfRule type="cellIs" priority="52" operator="greaterThan" dxfId="1">
      <formula>$D$79</formula>
    </cfRule>
    <cfRule type="cellIs" priority="53" operator="lessThan" dxfId="3">
      <formula>$S$2</formula>
    </cfRule>
    <cfRule type="cellIs" priority="54" operator="greaterThan" dxfId="1">
      <formula>$S$2</formula>
    </cfRule>
  </conditionalFormatting>
  <conditionalFormatting sqref="L80:L85">
    <cfRule type="containsText" priority="17" operator="containsText" dxfId="1" text="ITM">
      <formula>NOT(ISERROR(SEARCH("ITM",L80)))</formula>
    </cfRule>
    <cfRule type="containsText" priority="16" operator="containsText" dxfId="3" text="OTM">
      <formula>NOT(ISERROR(SEARCH("OTM",L80)))</formula>
    </cfRule>
    <cfRule type="containsText" priority="15" operator="containsText" dxfId="3" text="ATM">
      <formula>NOT(ISERROR(SEARCH("ATM",L80)))</formula>
    </cfRule>
  </conditionalFormatting>
  <conditionalFormatting sqref="E101 N85 O87:P87 Q85:V85">
    <cfRule type="containsText" priority="57" operator="containsText" dxfId="3" text="PE">
      <formula>NOT(ISERROR(SEARCH("PE",E85)))</formula>
    </cfRule>
    <cfRule type="containsText" priority="58" operator="containsText" dxfId="1" text="CE">
      <formula>NOT(ISERROR(SEARCH("CE",E85)))</formula>
    </cfRule>
  </conditionalFormatting>
  <conditionalFormatting sqref="AD1:AD1048576">
    <cfRule type="top10" rank="1" priority="66" bottom="1"/>
  </conditionalFormatting>
  <conditionalFormatting sqref="I99">
    <cfRule type="cellIs" priority="7" operator="greaterThan" dxfId="3">
      <formula>$J$91</formula>
    </cfRule>
  </conditionalFormatting>
  <conditionalFormatting sqref="I100">
    <cfRule type="cellIs" priority="5" operator="lessThan" dxfId="1">
      <formula>$J$92</formula>
    </cfRule>
  </conditionalFormatting>
  <conditionalFormatting sqref="I101">
    <cfRule type="cellIs" priority="2" operator="greaterThan" dxfId="0">
      <formula>$J$93</formula>
    </cfRule>
  </conditionalFormatting>
  <conditionalFormatting sqref="J99">
    <cfRule type="cellIs" priority="3" operator="greaterThan" dxfId="3">
      <formula>$I$91</formula>
    </cfRule>
    <cfRule type="cellIs" priority="6" operator="greaterThan" dxfId="1">
      <formula>$I$91</formula>
    </cfRule>
  </conditionalFormatting>
  <conditionalFormatting sqref="J100">
    <cfRule type="cellIs" priority="4" operator="lessThan" dxfId="1">
      <formula>$I$92</formula>
    </cfRule>
  </conditionalFormatting>
  <conditionalFormatting sqref="J101">
    <cfRule type="cellIs" priority="1" operator="greaterThan" dxfId="0">
      <formula>$I$93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Esti Mini</dc:creator>
  <dcterms:created xsi:type="dcterms:W3CDTF">2026-03-11T05:39:07Z</dcterms:created>
  <dcterms:modified xsi:type="dcterms:W3CDTF">2026-03-30T06:21:45Z</dcterms:modified>
  <cp:lastModifiedBy>Esti Mini</cp:lastModifiedBy>
</cp:coreProperties>
</file>